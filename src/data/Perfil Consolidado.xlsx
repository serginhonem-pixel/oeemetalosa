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oordpcp\telha-oee\src\data\"/>
    </mc:Choice>
  </mc:AlternateContent>
  <xr:revisionPtr revIDLastSave="0" documentId="13_ncr:1_{8E9A6714-8C0E-4CD5-A455-83BF59D9D03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or maquina" sheetId="2" r:id="rId1"/>
    <sheet name="Sheet1" sheetId="1" r:id="rId2"/>
  </sheets>
  <definedNames>
    <definedName name="_xlnm._FilterDatabase" localSheetId="1" hidden="1">Sheet1!$A$1:$R$91</definedName>
  </definedNames>
  <calcPr calcId="191029"/>
  <pivotCaches>
    <pivotCache cacheId="6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<sst xmlns="http://schemas.openxmlformats.org/spreadsheetml/2006/main" count="589" uniqueCount="212">
  <si>
    <t>Produto</t>
  </si>
  <si>
    <t>Descrição do produto</t>
  </si>
  <si>
    <t xml:space="preserve">Quantidade </t>
  </si>
  <si>
    <t>%</t>
  </si>
  <si>
    <t>Acumulado</t>
  </si>
  <si>
    <t>ABC</t>
  </si>
  <si>
    <t>Diário (kg)</t>
  </si>
  <si>
    <t>Mensal</t>
  </si>
  <si>
    <t>Média</t>
  </si>
  <si>
    <t>Desv. Padrão</t>
  </si>
  <si>
    <t>% Desv.padrão</t>
  </si>
  <si>
    <t>Lead Time</t>
  </si>
  <si>
    <t>Nível de Segurança</t>
  </si>
  <si>
    <t>Estoque de Segurança</t>
  </si>
  <si>
    <t>Ponto de Ressuprimento</t>
  </si>
  <si>
    <t>Estoque Máximo</t>
  </si>
  <si>
    <t>Máquina</t>
  </si>
  <si>
    <t>00670B</t>
  </si>
  <si>
    <t>PERFIL UE 75X40X15X2,00</t>
  </si>
  <si>
    <t>A</t>
  </si>
  <si>
    <t>Perfiladeira BR200 REGIANE</t>
  </si>
  <si>
    <t>00670K</t>
  </si>
  <si>
    <t>PERFIL UE 75X40X15X1,95 GALV</t>
  </si>
  <si>
    <t>Perfiladeira Marafon</t>
  </si>
  <si>
    <t>00672B</t>
  </si>
  <si>
    <t>PERFIL UE 100X50X17X2,00</t>
  </si>
  <si>
    <t>Perfiladeira ZL 250</t>
  </si>
  <si>
    <t>00672K</t>
  </si>
  <si>
    <t>PERFIL UE 100X50X17X1,95 GALV</t>
  </si>
  <si>
    <t>00653B</t>
  </si>
  <si>
    <t>PERFIL US 75X40X2,00</t>
  </si>
  <si>
    <t>00670A</t>
  </si>
  <si>
    <t>PERFIL UE 75X40X15X1,80</t>
  </si>
  <si>
    <t>00652B</t>
  </si>
  <si>
    <t>PERFIL US 68X30X2,00</t>
  </si>
  <si>
    <t>00671K</t>
  </si>
  <si>
    <t>PERFIL UE 100X40X17X1,95 GALV</t>
  </si>
  <si>
    <t>00653K</t>
  </si>
  <si>
    <t>PERFIL US 75X40X1,95 GALV</t>
  </si>
  <si>
    <t>00654B</t>
  </si>
  <si>
    <t>PERFIL US 92X30X2,00</t>
  </si>
  <si>
    <t>00656B</t>
  </si>
  <si>
    <t>PERFIL US 100X50X2,00</t>
  </si>
  <si>
    <t>00671B</t>
  </si>
  <si>
    <t>PERFIL UE 100X40X17X2,00</t>
  </si>
  <si>
    <t>00651B</t>
  </si>
  <si>
    <t>PERFIL US 50X25X2,00</t>
  </si>
  <si>
    <t>00670C</t>
  </si>
  <si>
    <t>PERFIL UE 75X40X15X2,25</t>
  </si>
  <si>
    <t>00653A</t>
  </si>
  <si>
    <t>PERFIL US 75X40X1,80</t>
  </si>
  <si>
    <t>00668B</t>
  </si>
  <si>
    <t>PERFIL UE 50X25X10X2,00</t>
  </si>
  <si>
    <t>00668K</t>
  </si>
  <si>
    <t>PERFIL UE 50X25X10X1,95 GALV</t>
  </si>
  <si>
    <t>00672C</t>
  </si>
  <si>
    <t>PERFIL UE 100X50X17X2,25</t>
  </si>
  <si>
    <t>00652K</t>
  </si>
  <si>
    <t>PERFIL US 68X30X1,95 GALV</t>
  </si>
  <si>
    <t>00651A</t>
  </si>
  <si>
    <t>PERFIL US 50X25X1,80</t>
  </si>
  <si>
    <t>00676B</t>
  </si>
  <si>
    <t>PERFIL UE 150X60X20X2,00</t>
  </si>
  <si>
    <t>00656K</t>
  </si>
  <si>
    <t>PERFIL US 100X50X1,95 GALV</t>
  </si>
  <si>
    <t>00678B</t>
  </si>
  <si>
    <t>PERFIL UE 200X75X25X2,00</t>
  </si>
  <si>
    <t>00672D</t>
  </si>
  <si>
    <t>PERFIL UE 100X50X17X2,65</t>
  </si>
  <si>
    <t>B</t>
  </si>
  <si>
    <t>00676K</t>
  </si>
  <si>
    <t>PERFIL UE 150X60X20X1,95 GALV</t>
  </si>
  <si>
    <t>00654K</t>
  </si>
  <si>
    <t>PERFIL US 92X30X1,95 GALV</t>
  </si>
  <si>
    <t>00655B</t>
  </si>
  <si>
    <t>PERFIL US 100X40X2,00</t>
  </si>
  <si>
    <t>00674B</t>
  </si>
  <si>
    <t>PERFIL UE 127X50X17X2,00</t>
  </si>
  <si>
    <t>00676C</t>
  </si>
  <si>
    <t>PERFIL UE 150X60X20X2,25</t>
  </si>
  <si>
    <t>00670</t>
  </si>
  <si>
    <t>PERFIL UE 75X40X15X3,00</t>
  </si>
  <si>
    <t>00652A</t>
  </si>
  <si>
    <t>PERFIL US 68X30X1,80</t>
  </si>
  <si>
    <t>00676A</t>
  </si>
  <si>
    <t>PERFIL UE 150X60X20X1,80</t>
  </si>
  <si>
    <t>00671A</t>
  </si>
  <si>
    <t>PERFIL UE 100X40X17X1,80</t>
  </si>
  <si>
    <t>00656C</t>
  </si>
  <si>
    <t>PERFIL US 100X50X2,25</t>
  </si>
  <si>
    <t>00650B</t>
  </si>
  <si>
    <t>PERFIL US 45X17X2,00</t>
  </si>
  <si>
    <t>00678D</t>
  </si>
  <si>
    <t>PERFIL UE 200X75X25X2,65</t>
  </si>
  <si>
    <t>00650A</t>
  </si>
  <si>
    <t>PERFIL US 45X17X1,80</t>
  </si>
  <si>
    <t>00656</t>
  </si>
  <si>
    <t>PERFIL US 100X50X3,00</t>
  </si>
  <si>
    <t>00653C</t>
  </si>
  <si>
    <t>PERFIL US 75X40X2,25</t>
  </si>
  <si>
    <t>00668A</t>
  </si>
  <si>
    <t>PERFIL UE 50X25X10X1,80</t>
  </si>
  <si>
    <t>00674K</t>
  </si>
  <si>
    <t>PERFIL UE 127X50X17X1,95 GALV</t>
  </si>
  <si>
    <t>00676D</t>
  </si>
  <si>
    <t>PERFIL UE 150X60X20X2,65</t>
  </si>
  <si>
    <t>00656D</t>
  </si>
  <si>
    <t>PERFIL US 100X50X2,65</t>
  </si>
  <si>
    <t>00653D</t>
  </si>
  <si>
    <t>PERFIL US 75X40X2,65</t>
  </si>
  <si>
    <t>00653I</t>
  </si>
  <si>
    <t>PERFIL US 75X40X4,75</t>
  </si>
  <si>
    <t>00676</t>
  </si>
  <si>
    <t>PERFIL UE 150X60X20X3,00</t>
  </si>
  <si>
    <t>00655K</t>
  </si>
  <si>
    <t>PERFIL US 100X40X1,95 GALV</t>
  </si>
  <si>
    <t>00674C</t>
  </si>
  <si>
    <t>PERFIL UE 127X50X17X2,25</t>
  </si>
  <si>
    <t>00653</t>
  </si>
  <si>
    <t>PERFIL US 75X40X3,00</t>
  </si>
  <si>
    <t>00660I</t>
  </si>
  <si>
    <t>PERFIL US 127X50X4,75</t>
  </si>
  <si>
    <t>00654A</t>
  </si>
  <si>
    <t>PERFIL US 92X30X1,80</t>
  </si>
  <si>
    <t>00664K</t>
  </si>
  <si>
    <t>PERFIL US 150X50X1,95 GALV</t>
  </si>
  <si>
    <t>00664I</t>
  </si>
  <si>
    <t>PERFIL US 150X50X4,75</t>
  </si>
  <si>
    <t>00670D</t>
  </si>
  <si>
    <t>PERFIL UE 75X40X15X2,65</t>
  </si>
  <si>
    <t>00678K</t>
  </si>
  <si>
    <t>PERFIL UE 200X75X25X1,95 GALV</t>
  </si>
  <si>
    <t>C</t>
  </si>
  <si>
    <t>00656I</t>
  </si>
  <si>
    <t>PERFIL US 100X50X4,75</t>
  </si>
  <si>
    <t>00651K</t>
  </si>
  <si>
    <t>PERFIL US 50X25X1,95 GALV</t>
  </si>
  <si>
    <t>00664B</t>
  </si>
  <si>
    <t>PERFIL US 150X50X2,00</t>
  </si>
  <si>
    <t>00672</t>
  </si>
  <si>
    <t>PERFIL UE 100X50X17X3,00</t>
  </si>
  <si>
    <t>00664</t>
  </si>
  <si>
    <t>PERFIL US 150X50X3,00</t>
  </si>
  <si>
    <t>00655D</t>
  </si>
  <si>
    <t>PERFIL US 100X40X2,65</t>
  </si>
  <si>
    <t>00671C</t>
  </si>
  <si>
    <t>PERFIL UE 100X40X17X2,25</t>
  </si>
  <si>
    <t>00655C</t>
  </si>
  <si>
    <t>PERFIL US 100X40X2,25</t>
  </si>
  <si>
    <t>00672A</t>
  </si>
  <si>
    <t>PERFIL UE 100X50X17X1,80</t>
  </si>
  <si>
    <t>00664C</t>
  </si>
  <si>
    <t>PERFIL US 150X50X2,25</t>
  </si>
  <si>
    <t>00660K</t>
  </si>
  <si>
    <t>PERFIL US 127X50X1,95 GALV</t>
  </si>
  <si>
    <t>00672L</t>
  </si>
  <si>
    <t>PERFIL UE 100X50X17X2,30 GALV</t>
  </si>
  <si>
    <t>00678</t>
  </si>
  <si>
    <t>PERFIL UE 200X75X25X3,00</t>
  </si>
  <si>
    <t>00666B</t>
  </si>
  <si>
    <t>PERFIL US 200X50X2,00</t>
  </si>
  <si>
    <t>TERCEIRO</t>
  </si>
  <si>
    <t>00660</t>
  </si>
  <si>
    <t>PERFIL US 127X50X3,00</t>
  </si>
  <si>
    <t>00678C</t>
  </si>
  <si>
    <t>PERFIL UE 200X75X25X2,25</t>
  </si>
  <si>
    <t>00656A</t>
  </si>
  <si>
    <t>PERFIL US 100X50X1,80</t>
  </si>
  <si>
    <t>00674</t>
  </si>
  <si>
    <t>PERFIL UE 127X50X17X3,00</t>
  </si>
  <si>
    <t>00655</t>
  </si>
  <si>
    <t>PERFIL US 100X40X3,00</t>
  </si>
  <si>
    <t>00664D</t>
  </si>
  <si>
    <t>PERFIL US 150X50X2,65</t>
  </si>
  <si>
    <t>00650K</t>
  </si>
  <si>
    <t>PERFIL US 45X17X1,95 GALV</t>
  </si>
  <si>
    <t>00666</t>
  </si>
  <si>
    <t>PERFIL US 200X50X3,00</t>
  </si>
  <si>
    <t>00660C</t>
  </si>
  <si>
    <t>PERFIL US 127X50X2,25</t>
  </si>
  <si>
    <t>00666C</t>
  </si>
  <si>
    <t>PERFIL US 200X50X2,25</t>
  </si>
  <si>
    <t>00671D</t>
  </si>
  <si>
    <t>PERFIL UE 100X40X17X2,65</t>
  </si>
  <si>
    <t>00670L</t>
  </si>
  <si>
    <t>PERFIL UE 75X40X15X2,30 GALV</t>
  </si>
  <si>
    <t>00660D</t>
  </si>
  <si>
    <t>PERFIL US 127X50X2,65</t>
  </si>
  <si>
    <t>00653L</t>
  </si>
  <si>
    <t>PERFIL US 75X40X2,30 GALV</t>
  </si>
  <si>
    <t>00660B</t>
  </si>
  <si>
    <t>PERFIL US 127X50X2,00</t>
  </si>
  <si>
    <t>00659B</t>
  </si>
  <si>
    <t>PERFIL US 127X40X2,00</t>
  </si>
  <si>
    <t>00666I</t>
  </si>
  <si>
    <t>PERFIL US 200X50X4,75</t>
  </si>
  <si>
    <t/>
  </si>
  <si>
    <t>00675B</t>
  </si>
  <si>
    <t>PERFIL UE 150X50X17X2,00</t>
  </si>
  <si>
    <t>00674D</t>
  </si>
  <si>
    <t>PERFIL UE 127X50X17X2,65</t>
  </si>
  <si>
    <t>00655A</t>
  </si>
  <si>
    <t>PERFIL US 100X40X1,80</t>
  </si>
  <si>
    <t>00668J</t>
  </si>
  <si>
    <t>PERFIL UE 50X25X10X1,55 GALV</t>
  </si>
  <si>
    <t>Total Geral</t>
  </si>
  <si>
    <t>Diário Kg</t>
  </si>
  <si>
    <t>Perfiladeira ZL 250 Total</t>
  </si>
  <si>
    <t>Perfiladeira BR200 REGIANE Total</t>
  </si>
  <si>
    <t>Perfiladeira Marafon Total</t>
  </si>
  <si>
    <t>TERCEIRO Total</t>
  </si>
  <si>
    <t>Largura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</si>
</sst>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4">
    <border>
      <left/>
      <right/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3" fontId="1" fillId="2" borderId="2" xfId="0" applyNumberFormat="1" applyFont="1" applyFill="1" applyBorder="1"/>
    <xf numFmtId="9" fontId="1" fillId="2" borderId="2" xfId="0" applyNumberFormat="1" applyFont="1" applyFill="1" applyBorder="1"/>
    <xf numFmtId="0" fontId="0" fillId="3" borderId="1" xfId="0" applyFill="1" applyBorder="1"/>
    <xf numFmtId="0" fontId="0" fillId="3" borderId="2" xfId="0" applyFill="1" applyBorder="1"/>
    <xf numFmtId="3" fontId="0" fillId="3" borderId="2" xfId="0" applyNumberFormat="1" applyFill="1" applyBorder="1"/>
    <xf numFmtId="9" fontId="0" fillId="3" borderId="2" xfId="0" applyNumberFormat="1" applyFill="1" applyBorder="1"/>
    <xf numFmtId="0" fontId="0" fillId="0" borderId="1" xfId="0" applyBorder="1"/>
    <xf numFmtId="0" fontId="0" fillId="0" borderId="2" xfId="0" applyBorder="1"/>
    <xf numFmtId="3" fontId="0" fillId="0" borderId="2" xfId="0" applyNumberFormat="1" applyBorder="1"/>
    <xf numFmtId="9" fontId="0" fillId="0" borderId="2" xfId="0" applyNumberFormat="1" applyBorder="1"/>
    <xf numFmtId="0" fontId="1" fillId="2" borderId="3" xfId="0" applyFont="1" applyFill="1" applyBorder="1"/>
    <xf numFmtId="0" fontId="0" fillId="3" borderId="3" xfId="0" applyFill="1" applyBorder="1"/>
    <xf numFmtId="0" fontId="0" fillId="0" borderId="3" xfId="0" applyBorder="1"/>
    <xf numFmtId="0" fontId="0" fillId="0" borderId="0" xfId="0" pivotButton="1"/>
    <xf numFmtId="4" fontId="0" fillId="0" borderId="0" xfId="0" applyNumberFormat="1"/>
  </cellXfs>
  <cellStyles count="1">
    <cellStyle name="Normal" xfId="0" builtinId="0"/>
  </cellStyles>
  <dxfs count="12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io Betini" refreshedDate="46076.446932523148" createdVersion="8" refreshedVersion="8" minRefreshableVersion="3" recordCount="90" xr:uid="{B6B4ABB7-406B-450D-94DA-9E94EFBB23B6}">
  <cacheSource type="worksheet">
    <worksheetSource ref="A1:R91" sheet="Sheet1"/>
  </cacheSource>
  <cacheFields count="18">
    <cacheField name="Produto" numFmtId="0">
      <sharedItems count="90">
        <s v="00670B"/>
        <s v="00670K"/>
        <s v="00672B"/>
        <s v="00672K"/>
        <s v="00653B"/>
        <s v="00670A"/>
        <s v="00652B"/>
        <s v="00671K"/>
        <s v="00653K"/>
        <s v="00654B"/>
        <s v="00656B"/>
        <s v="00671B"/>
        <s v="00651B"/>
        <s v="00670C"/>
        <s v="00653A"/>
        <s v="00668B"/>
        <s v="00668K"/>
        <s v="00672C"/>
        <s v="00652K"/>
        <s v="00651A"/>
        <s v="00676B"/>
        <s v="00656K"/>
        <s v="00678B"/>
        <s v="00672D"/>
        <s v="00676K"/>
        <s v="00654K"/>
        <s v="00655B"/>
        <s v="00674B"/>
        <s v="00676C"/>
        <s v="00670"/>
        <s v="00652A"/>
        <s v="00676A"/>
        <s v="00671A"/>
        <s v="00656C"/>
        <s v="00650B"/>
        <s v="00678D"/>
        <s v="00650A"/>
        <s v="00656"/>
        <s v="00653C"/>
        <s v="00668A"/>
        <s v="00674K"/>
        <s v="00676D"/>
        <s v="00656D"/>
        <s v="00653D"/>
        <s v="00653I"/>
        <s v="00676"/>
        <s v="00655K"/>
        <s v="00674C"/>
        <s v="00653"/>
        <s v="00660I"/>
        <s v="00654A"/>
        <s v="00664K"/>
        <s v="00664I"/>
        <s v="00670D"/>
        <s v="00678K"/>
        <s v="00656I"/>
        <s v="00651K"/>
        <s v="00664B"/>
        <s v="00672"/>
        <s v="00664"/>
        <s v="00655D"/>
        <s v="00671C"/>
        <s v="00655C"/>
        <s v="00672A"/>
        <s v="00664C"/>
        <s v="00660K"/>
        <s v="00672L"/>
        <s v="00678"/>
        <s v="00666B"/>
        <s v="00660"/>
        <s v="00678C"/>
        <s v="00656A"/>
        <s v="00674"/>
        <s v="00655"/>
        <s v="00664D"/>
        <s v="00650K"/>
        <s v="00666"/>
        <s v="00660C"/>
        <s v="00666C"/>
        <s v="00671D"/>
        <s v="00670L"/>
        <s v="00660D"/>
        <s v="00653L"/>
        <s v="00660B"/>
        <s v="00659B"/>
        <s v="00666I"/>
        <s v="00675B"/>
        <s v="00674D"/>
        <s v="00655A"/>
        <s v="00668J"/>
      </sharedItems>
    </cacheField>
    <cacheField name="Descrição do produto" numFmtId="0">
      <sharedItems count="90">
        <s v="PERFIL UE 75X40X15X2,00"/>
        <s v="PERFIL UE 75X40X15X1,95 GALV"/>
        <s v="PERFIL UE 100X50X17X2,00"/>
        <s v="PERFIL UE 100X50X17X1,95 GALV"/>
        <s v="PERFIL US 75X40X2,00"/>
        <s v="PERFIL UE 75X40X15X1,80"/>
        <s v="PERFIL US 68X30X2,00"/>
        <s v="PERFIL UE 100X40X17X1,95 GALV"/>
        <s v="PERFIL US 75X40X1,95 GALV"/>
        <s v="PERFIL US 92X30X2,00"/>
        <s v="PERFIL US 100X50X2,00"/>
        <s v="PERFIL UE 100X40X17X2,00"/>
        <s v="PERFIL US 50X25X2,00"/>
        <s v="PERFIL UE 75X40X15X2,25"/>
        <s v="PERFIL US 75X40X1,80"/>
        <s v="PERFIL UE 50X25X10X2,00"/>
        <s v="PERFIL UE 50X25X10X1,95 GALV"/>
        <s v="PERFIL UE 100X50X17X2,25"/>
        <s v="PERFIL US 68X30X1,95 GALV"/>
        <s v="PERFIL US 50X25X1,80"/>
        <s v="PERFIL UE 150X60X20X2,00"/>
        <s v="PERFIL US 100X50X1,95 GALV"/>
        <s v="PERFIL UE 200X75X25X2,00"/>
        <s v="PERFIL UE 100X50X17X2,65"/>
        <s v="PERFIL UE 150X60X20X1,95 GALV"/>
        <s v="PERFIL US 92X30X1,95 GALV"/>
        <s v="PERFIL US 100X40X2,00"/>
        <s v="PERFIL UE 127X50X17X2,00"/>
        <s v="PERFIL UE 150X60X20X2,25"/>
        <s v="PERFIL UE 75X40X15X3,00"/>
        <s v="PERFIL US 68X30X1,80"/>
        <s v="PERFIL UE 150X60X20X1,80"/>
        <s v="PERFIL UE 100X40X17X1,80"/>
        <s v="PERFIL US 100X50X2,25"/>
        <s v="PERFIL US 45X17X2,00"/>
        <s v="PERFIL UE 200X75X25X2,65"/>
        <s v="PERFIL US 45X17X1,80"/>
        <s v="PERFIL US 100X50X3,00"/>
        <s v="PERFIL US 75X40X2,25"/>
        <s v="PERFIL UE 50X25X10X1,80"/>
        <s v="PERFIL UE 127X50X17X1,95 GALV"/>
        <s v="PERFIL UE 150X60X20X2,65"/>
        <s v="PERFIL US 100X50X2,65"/>
        <s v="PERFIL US 75X40X2,65"/>
        <s v="PERFIL US 75X40X4,75"/>
        <s v="PERFIL UE 150X60X20X3,00"/>
        <s v="PERFIL US 100X40X1,95 GALV"/>
        <s v="PERFIL UE 127X50X17X2,25"/>
        <s v="PERFIL US 75X40X3,00"/>
        <s v="PERFIL US 127X50X4,75"/>
        <s v="PERFIL US 92X30X1,80"/>
        <s v="PERFIL US 150X50X1,95 GALV"/>
        <s v="PERFIL US 150X50X4,75"/>
        <s v="PERFIL UE 75X40X15X2,65"/>
        <s v="PERFIL UE 200X75X25X1,95 GALV"/>
        <s v="PERFIL US 100X50X4,75"/>
        <s v="PERFIL US 50X25X1,95 GALV"/>
        <s v="PERFIL US 150X50X2,00"/>
        <s v="PERFIL UE 100X50X17X3,00"/>
        <s v="PERFIL US 150X50X3,00"/>
        <s v="PERFIL US 100X40X2,65"/>
        <s v="PERFIL UE 100X40X17X2,25"/>
        <s v="PERFIL US 100X40X2,25"/>
        <s v="PERFIL UE 100X50X17X1,80"/>
        <s v="PERFIL US 150X50X2,25"/>
        <s v="PERFIL US 127X50X1,95 GALV"/>
        <s v="PERFIL UE 100X50X17X2,30 GALV"/>
        <s v="PERFIL UE 200X75X25X3,00"/>
        <s v="PERFIL US 200X50X2,00"/>
        <s v="PERFIL US 127X50X3,00"/>
        <s v="PERFIL UE 200X75X25X2,25"/>
        <s v="PERFIL US 100X50X1,80"/>
        <s v="PERFIL UE 127X50X17X3,00"/>
        <s v="PERFIL US 100X40X3,00"/>
        <s v="PERFIL US 150X50X2,65"/>
        <s v="PERFIL US 45X17X1,95 GALV"/>
        <s v="PERFIL US 200X50X3,00"/>
        <s v="PERFIL US 127X50X2,25"/>
        <s v="PERFIL US 200X50X2,25"/>
        <s v="PERFIL UE 100X40X17X2,65"/>
        <s v="PERFIL UE 75X40X15X2,30 GALV"/>
        <s v="PERFIL US 127X50X2,65"/>
        <s v="PERFIL US 75X40X2,30 GALV"/>
        <s v="PERFIL US 127X50X2,00"/>
        <s v="PERFIL US 127X40X2,00"/>
        <s v="PERFIL US 200X50X4,75"/>
        <s v="PERFIL UE 150X50X17X2,00"/>
        <s v="PERFIL UE 127X50X17X2,65"/>
        <s v="PERFIL US 100X40X1,80"/>
        <s v="PERFIL UE 50X25X10X1,55 GALV"/>
      </sharedItems>
    </cacheField>
    <cacheField name="Quantidade " numFmtId="3">
      <sharedItems containsSemiMixedTypes="0" containsString="0" containsNumber="1" minValue="197.6" maxValue="493383.12"/>
    </cacheField>
    <cacheField name="%" numFmtId="9">
      <sharedItems containsSemiMixedTypes="0" containsString="0" containsNumber="1" minValue="7.5826144997577098E-5" maxValue="0.189328643706867"/>
    </cacheField>
    <cacheField name="Acumulado" numFmtId="9">
      <sharedItems containsSemiMixedTypes="0" containsString="0" containsNumber="1" minValue="0.189328643706867" maxValue="0.99957881185855602"/>
    </cacheField>
    <cacheField name="ABC" numFmtId="0">
      <sharedItems count="3">
        <s v="A"/>
        <s v="B"/>
        <s v="C"/>
      </sharedItems>
    </cacheField>
    <cacheField name="Diário (kg)" numFmtId="3">
      <sharedItems containsSemiMixedTypes="0" containsString="0" containsNumber="1" minValue="0.74848484848484798" maxValue="1868.8754545454501"/>
    </cacheField>
    <cacheField name="Mensal" numFmtId="3">
      <sharedItems containsSemiMixedTypes="0" containsString="0" containsNumber="1" minValue="16.466666666666701" maxValue="41115.26"/>
    </cacheField>
    <cacheField name="Média" numFmtId="3">
      <sharedItems containsSemiMixedTypes="0" containsString="0" containsNumber="1" minValue="17.9636363636364" maxValue="2005.6224390243899"/>
    </cacheField>
    <cacheField name="Desv. Padrão" numFmtId="3">
      <sharedItems containsMixedTypes="1" containsNumber="1" minValue="20.470040191815599" maxValue="1493.90060533514"/>
    </cacheField>
    <cacheField name="% Desv.padrão" numFmtId="9">
      <sharedItems containsMixedTypes="1" containsNumber="1" minValue="0.569240201629585" maxValue="2.4384909381178099"/>
    </cacheField>
    <cacheField name="Lead Time" numFmtId="0">
      <sharedItems containsSemiMixedTypes="0" containsString="0" containsNumber="1" containsInteger="1" minValue="3" maxValue="3"/>
    </cacheField>
    <cacheField name="Nível de Segurança" numFmtId="0">
      <sharedItems containsSemiMixedTypes="0" containsString="0" containsNumber="1" minValue="0.6" maxValue="0.6"/>
    </cacheField>
    <cacheField name="Estoque de Segurança" numFmtId="3">
      <sharedItems containsMixedTypes="1" containsNumber="1" minValue="10.069582888380999" maxValue="757.12309712451201"/>
    </cacheField>
    <cacheField name="Ponto de Ressuprimento" numFmtId="3">
      <sharedItems containsMixedTypes="1" containsNumber="1" minValue="63.960491979290197" maxValue="6773.9904141976804"/>
    </cacheField>
    <cacheField name="Estoque Máximo" numFmtId="3">
      <sharedItems containsMixedTypes="1" containsNumber="1" minValue="84.099657756052295" maxValue="8288.2366084467103"/>
    </cacheField>
    <cacheField name="Máquina" numFmtId="0">
      <sharedItems count="4">
        <s v="Perfiladeira BR200 REGIANE"/>
        <s v="Perfiladeira Marafon"/>
        <s v="Perfiladeira ZL 250"/>
        <s v="TERCEIRO"/>
      </sharedItems>
    </cacheField>
    <cacheField name="Largura" numFmtId="0">
      <sharedItems containsMixedTypes="1" containsNumber="1" containsInteger="1" minValue="65" maxValue="369" count="39">
        <n v="164"/>
        <n v="210"/>
        <n v="145"/>
        <n v="166"/>
        <n v="118"/>
        <n v="170"/>
        <n v="142"/>
        <n v="190"/>
        <n v="90"/>
        <n v="162"/>
        <n v="102"/>
        <n v="91"/>
        <n v="289"/>
        <n v="369"/>
        <n v="207"/>
        <n v="290"/>
        <n v="234"/>
        <n v="287"/>
        <s v=""/>
        <n v="188"/>
        <n v="65"/>
        <n v="367"/>
        <n v="144"/>
        <n v="187"/>
        <n v="133"/>
        <n v="208"/>
        <n v="240"/>
        <n v="233"/>
        <n v="159"/>
        <n v="180"/>
        <n v="167"/>
        <n v="168"/>
        <n v="211"/>
        <n v="238"/>
        <n v="215"/>
        <n v="236"/>
        <n v="214"/>
        <n v="288"/>
        <n v="19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n v="493383.12"/>
    <n v="0.189328643706867"/>
    <n v="0.189328643706867"/>
    <x v="0"/>
    <n v="1868.8754545454501"/>
    <n v="41115.26"/>
    <n v="2005.6224390243899"/>
    <n v="1279.12724327357"/>
    <n v="0.63777070817764903"/>
    <n v="3"/>
    <n v="0.6"/>
    <n v="757.12309712451201"/>
    <n v="6773.9904141976804"/>
    <n v="8288.2366084467103"/>
    <x v="0"/>
    <x v="0"/>
  </r>
  <r>
    <x v="1"/>
    <x v="1"/>
    <n v="362524.69999999902"/>
    <n v="0.139113615725724"/>
    <n v="0.32844225943259098"/>
    <x v="0"/>
    <n v="1373.1996212121201"/>
    <n v="30210.391666666601"/>
    <n v="1516.83974895398"/>
    <n v="1119.4836819004599"/>
    <n v="0.73803688403634404"/>
    <n v="3"/>
    <n v="0.6"/>
    <n v="623.69374357048503"/>
    <n v="5174.2129904324302"/>
    <n v="6421.6004775734"/>
    <x v="1"/>
    <x v="0"/>
  </r>
  <r>
    <x v="2"/>
    <x v="2"/>
    <n v="149059"/>
    <n v="5.7199237587013403E-2"/>
    <n v="0.38564149701960498"/>
    <x v="0"/>
    <n v="564.61742424242402"/>
    <n v="12421.583333333299"/>
    <n v="686.90783410138204"/>
    <n v="674.326267527249"/>
    <n v="0.98168376316366701"/>
    <n v="3"/>
    <n v="0.6"/>
    <n v="343.28206373389003"/>
    <n v="2404.0055660380399"/>
    <n v="3090.5696935058199"/>
    <x v="2"/>
    <x v="1"/>
  </r>
  <r>
    <x v="3"/>
    <x v="3"/>
    <n v="137403.80002"/>
    <n v="5.2726722993596202E-2"/>
    <n v="0.43836822001320103"/>
    <x v="0"/>
    <n v="520.46893946969703"/>
    <n v="11450.3166683333"/>
    <n v="697.48121837563497"/>
    <n v="734.08191509978894"/>
    <n v="1.0524755301790001"/>
    <n v="3"/>
    <n v="0.6"/>
    <n v="367.40648323209001"/>
    <n v="2459.8501383589901"/>
    <n v="3194.6631048231702"/>
    <x v="2"/>
    <x v="1"/>
  </r>
  <r>
    <x v="4"/>
    <x v="4"/>
    <n v="120746.63"/>
    <n v="4.6334774667756998E-2"/>
    <n v="0.48470299468095801"/>
    <x v="0"/>
    <n v="457.37359848484903"/>
    <n v="10062.2191666667"/>
    <n v="543.90373873873898"/>
    <n v="512.69887832987297"/>
    <n v="0.94262797221944605"/>
    <n v="3"/>
    <n v="0.6"/>
    <n v="263.82323381484503"/>
    <n v="1895.53445003106"/>
    <n v="2423.1809176607499"/>
    <x v="2"/>
    <x v="2"/>
  </r>
  <r>
    <x v="5"/>
    <x v="5"/>
    <n v="105875.05"/>
    <n v="4.0628020713186899E-2"/>
    <n v="0.52533101539414495"/>
    <x v="0"/>
    <n v="401.04185606060599"/>
    <n v="8822.9208333333299"/>
    <n v="691.99379084967302"/>
    <n v="784.89974647537895"/>
    <n v="1.134258365977"/>
    <n v="3"/>
    <n v="0.6"/>
    <n v="386.47336570514398"/>
    <n v="2462.45473825416"/>
    <n v="3235.4014696644499"/>
    <x v="1"/>
    <x v="3"/>
  </r>
  <r>
    <x v="6"/>
    <x v="6"/>
    <n v="92288.289399999994"/>
    <n v="3.5414297639791301E-2"/>
    <n v="0.56074531303393604"/>
    <x v="0"/>
    <n v="349.57685378787897"/>
    <n v="7690.6907833333298"/>
    <n v="427.26059907407398"/>
    <n v="404.69466655876101"/>
    <n v="0.94718461621732297"/>
    <n v="3"/>
    <n v="0.6"/>
    <n v="207.973891342494"/>
    <n v="1489.75568856472"/>
    <n v="1905.7034712497"/>
    <x v="0"/>
    <x v="4"/>
  </r>
  <r>
    <x v="7"/>
    <x v="7"/>
    <n v="72441.3"/>
    <n v="2.7798302214640601E-2"/>
    <n v="0.58854361524857701"/>
    <x v="0"/>
    <n v="274.39886363636401"/>
    <n v="6036.7749999999996"/>
    <n v="479.74370860927201"/>
    <n v="533.58824094691295"/>
    <n v="1.1122360363906201"/>
    <n v="3"/>
    <n v="0.6"/>
    <n v="263.81004271436302"/>
    <n v="1703.04116854218"/>
    <n v="2230.6612539708999"/>
    <x v="2"/>
    <x v="5"/>
  </r>
  <r>
    <x v="8"/>
    <x v="8"/>
    <n v="67190.7"/>
    <n v="2.5783460327371999E-2"/>
    <n v="0.61432707557594901"/>
    <x v="0"/>
    <n v="254.51022727272701"/>
    <n v="5599.2250000000004"/>
    <n v="453.991216216216"/>
    <n v="510.06163212084101"/>
    <n v="1.12350550826058"/>
    <n v="3"/>
    <n v="0.6"/>
    <n v="251.64352297984601"/>
    <n v="1613.61717162849"/>
    <n v="2116.90421758819"/>
    <x v="2"/>
    <x v="2"/>
  </r>
  <r>
    <x v="9"/>
    <x v="9"/>
    <n v="60125.599999999999"/>
    <n v="2.30723302817121E-2"/>
    <n v="0.63739940585766097"/>
    <x v="0"/>
    <n v="227.74848484848499"/>
    <n v="5010.4666666666699"/>
    <n v="409.01768707483001"/>
    <n v="430.714643434126"/>
    <n v="1.0530464990755399"/>
    <n v="3"/>
    <n v="0.6"/>
    <n v="215.544758501617"/>
    <n v="1442.5978197261099"/>
    <n v="1873.6873367293399"/>
    <x v="0"/>
    <x v="6"/>
  </r>
  <r>
    <x v="10"/>
    <x v="10"/>
    <n v="42082.5"/>
    <n v="1.61485513505088E-2"/>
    <n v="0.65354795720816905"/>
    <x v="0"/>
    <n v="159.40340909090901"/>
    <n v="3506.875"/>
    <n v="326.22093023255798"/>
    <n v="397.005672911771"/>
    <n v="1.2169840623921699"/>
    <n v="3"/>
    <n v="0.6"/>
    <n v="192.820382822444"/>
    <n v="1171.4831735201201"/>
    <n v="1557.1239391650099"/>
    <x v="2"/>
    <x v="7"/>
  </r>
  <r>
    <x v="11"/>
    <x v="11"/>
    <n v="39689.51"/>
    <n v="1.5230276012868299E-2"/>
    <n v="0.66877823322103802"/>
    <x v="0"/>
    <n v="150.33905303030301"/>
    <n v="3307.4591666666702"/>
    <n v="389.11284313725503"/>
    <n v="455.65216983354202"/>
    <n v="1.1710026483829401"/>
    <n v="3"/>
    <n v="0.6"/>
    <n v="222.92608963937499"/>
    <n v="1390.26461905114"/>
    <n v="1836.1167983298899"/>
    <x v="2"/>
    <x v="5"/>
  </r>
  <r>
    <x v="12"/>
    <x v="12"/>
    <n v="37983.399999999499"/>
    <n v="1.4575580950915599E-2"/>
    <n v="0.68335381417195296"/>
    <x v="0"/>
    <n v="143.87651515151299"/>
    <n v="3165.2833333332901"/>
    <n v="163.72155172413801"/>
    <n v="208.725550152658"/>
    <n v="1.2748813333039299"/>
    <n v="3"/>
    <n v="0.6"/>
    <n v="100.54523139064401"/>
    <n v="591.70988656305803"/>
    <n v="792.80034934434605"/>
    <x v="0"/>
    <x v="8"/>
  </r>
  <r>
    <x v="13"/>
    <x v="13"/>
    <n v="36022.699999999997"/>
    <n v="1.38231906548797E-2"/>
    <n v="0.69717700482683298"/>
    <x v="0"/>
    <n v="136.449621212121"/>
    <n v="3001.8916666666701"/>
    <n v="590.53606557376997"/>
    <n v="560.16917118336903"/>
    <n v="0.94857740930539602"/>
    <n v="3"/>
    <n v="0.6"/>
    <n v="287.758298532982"/>
    <n v="2059.3664952542899"/>
    <n v="2634.8830923202599"/>
    <x v="1"/>
    <x v="9"/>
  </r>
  <r>
    <x v="14"/>
    <x v="14"/>
    <n v="34355.550000000003"/>
    <n v="1.3183445930017801E-2"/>
    <n v="0.71036045075685095"/>
    <x v="0"/>
    <n v="130.134659090909"/>
    <n v="2862.9625000000001"/>
    <n v="381.72833333333301"/>
    <n v="376.47932155115501"/>
    <n v="0.98624935242206702"/>
    <n v="3"/>
    <n v="0.6"/>
    <n v="191.428266280636"/>
    <n v="1336.6132662806299"/>
    <n v="1719.46979884191"/>
    <x v="2"/>
    <x v="2"/>
  </r>
  <r>
    <x v="15"/>
    <x v="15"/>
    <n v="34149.200000000099"/>
    <n v="1.3104262098943701E-2"/>
    <n v="0.72346471285579494"/>
    <x v="0"/>
    <n v="129.35303030303101"/>
    <n v="2845.7666666666801"/>
    <n v="166.58146341463399"/>
    <n v="208.55121713722099"/>
    <n v="1.2519473227229501"/>
    <n v="3"/>
    <n v="0.6"/>
    <n v="100.776820232497"/>
    <n v="600.52121047639901"/>
    <n v="802.07485094139201"/>
    <x v="0"/>
    <x v="10"/>
  </r>
  <r>
    <x v="16"/>
    <x v="16"/>
    <n v="32879.699999999801"/>
    <n v="1.2617109816178199E-2"/>
    <n v="0.73608182267197297"/>
    <x v="0"/>
    <n v="124.544318181817"/>
    <n v="2739.9749999999799"/>
    <n v="167.75357142857101"/>
    <n v="341.621713021424"/>
    <n v="2.0364497167613802"/>
    <n v="3"/>
    <n v="0.6"/>
    <n v="155.81515111837001"/>
    <n v="659.07586540408295"/>
    <n v="970.70616764082399"/>
    <x v="0"/>
    <x v="10"/>
  </r>
  <r>
    <x v="17"/>
    <x v="17"/>
    <n v="29307.200000000001"/>
    <n v="1.12462145580617E-2"/>
    <n v="0.74732803723003405"/>
    <x v="0"/>
    <n v="111.012121212121"/>
    <n v="2442.2666666666701"/>
    <n v="681.56279069767402"/>
    <n v="579.04209445767503"/>
    <n v="0.84957996880220699"/>
    <n v="3"/>
    <n v="0.6"/>
    <n v="307.20852167083598"/>
    <n v="2351.8968937638601"/>
    <n v="2966.3139371055299"/>
    <x v="2"/>
    <x v="1"/>
  </r>
  <r>
    <x v="18"/>
    <x v="18"/>
    <n v="29205.15"/>
    <n v="1.1207054345020199E-2"/>
    <n v="0.75853509157505505"/>
    <x v="0"/>
    <n v="110.625568181818"/>
    <n v="2433.7624999999998"/>
    <n v="217.94888059701501"/>
    <n v="230.17859937778601"/>
    <n v="1.0561127854718599"/>
    <n v="3"/>
    <n v="0.6"/>
    <n v="115.11225840734301"/>
    <n v="768.95890019838805"/>
    <n v="999.18341701307497"/>
    <x v="0"/>
    <x v="4"/>
  </r>
  <r>
    <x v="19"/>
    <x v="19"/>
    <n v="27326.400000000001"/>
    <n v="1.0486111177438201E-2"/>
    <n v="0.76902120275249297"/>
    <x v="0"/>
    <n v="103.509090909091"/>
    <n v="2277.1999999999998"/>
    <n v="213.48750000000001"/>
    <n v="373.30354666511801"/>
    <n v="1.7485967406293901"/>
    <n v="3"/>
    <n v="0.6"/>
    <n v="172.50752448057699"/>
    <n v="812.97002448057697"/>
    <n v="1157.98507344173"/>
    <x v="0"/>
    <x v="11"/>
  </r>
  <r>
    <x v="20"/>
    <x v="20"/>
    <n v="24071.19"/>
    <n v="9.2369713724910294E-3"/>
    <n v="0.77825817412498399"/>
    <x v="0"/>
    <n v="91.178749999999994"/>
    <n v="2005.9324999999999"/>
    <n v="312.61285714285702"/>
    <n v="381.15351730619898"/>
    <n v="1.2192509316148199"/>
    <n v="3"/>
    <n v="0.6"/>
    <n v="185.05801704246099"/>
    <n v="1122.8965884710301"/>
    <n v="1493.01262255595"/>
    <x v="2"/>
    <x v="12"/>
  </r>
  <r>
    <x v="21"/>
    <x v="21"/>
    <n v="23456.45"/>
    <n v="9.0010737794960407E-3"/>
    <n v="0.78725924790447999"/>
    <x v="0"/>
    <n v="88.850189393939402"/>
    <n v="1954.7041666666701"/>
    <n v="257.76318681318702"/>
    <n v="242.48071387628701"/>
    <n v="0.94071118872387305"/>
    <n v="3"/>
    <n v="0.6"/>
    <n v="124.84449393177999"/>
    <n v="898.13405437134099"/>
    <n v="1147.8230422349"/>
    <x v="2"/>
    <x v="7"/>
  </r>
  <r>
    <x v="22"/>
    <x v="22"/>
    <n v="22972.3"/>
    <n v="8.8152882121854195E-3"/>
    <n v="0.79607453611666501"/>
    <x v="0"/>
    <n v="87.016287878787907"/>
    <n v="1914.3583333333299"/>
    <n v="364.63968253968198"/>
    <n v="534.05648714758001"/>
    <n v="1.46461428286665"/>
    <n v="3"/>
    <n v="0.6"/>
    <n v="251.900298594379"/>
    <n v="1345.81934621342"/>
    <n v="1849.6199434021801"/>
    <x v="2"/>
    <x v="13"/>
  </r>
  <r>
    <x v="23"/>
    <x v="23"/>
    <n v="22347.9"/>
    <n v="8.5756837337619095E-3"/>
    <n v="0.80465021985042695"/>
    <x v="1"/>
    <n v="84.651136363636397"/>
    <n v="1862.325"/>
    <n v="770.61724137931003"/>
    <n v="1493.90060533514"/>
    <n v="1.9385766696073901"/>
    <n v="3"/>
    <n v="0.6"/>
    <n v="683.99345069952903"/>
    <n v="2995.84517483746"/>
    <n v="4363.8320762365202"/>
    <x v="2"/>
    <x v="14"/>
  </r>
  <r>
    <x v="24"/>
    <x v="24"/>
    <n v="20017"/>
    <n v="7.68123453652075E-3"/>
    <n v="0.81233145438694798"/>
    <x v="1"/>
    <n v="75.821969696969703"/>
    <n v="1668.0833333333301"/>
    <n v="333.61666666666702"/>
    <n v="371.48117680107799"/>
    <n v="1.11349705790402"/>
    <n v="3"/>
    <n v="0.6"/>
    <n v="183.61896046786899"/>
    <n v="1184.4689604678699"/>
    <n v="1551.7068814036099"/>
    <x v="2"/>
    <x v="15"/>
  </r>
  <r>
    <x v="25"/>
    <x v="25"/>
    <n v="19098.8"/>
    <n v="7.3288885530350401E-3"/>
    <n v="0.81966034293998302"/>
    <x v="1"/>
    <n v="72.343939393939394"/>
    <n v="1591.56666666667"/>
    <n v="258.09189189189198"/>
    <n v="253.54643505259301"/>
    <n v="0.98238822302405704"/>
    <n v="3"/>
    <n v="0.6"/>
    <n v="129.05015241938801"/>
    <n v="903.32582809506403"/>
    <n v="1161.4261329338401"/>
    <x v="0"/>
    <x v="6"/>
  </r>
  <r>
    <x v="26"/>
    <x v="26"/>
    <n v="18759.2"/>
    <n v="7.1985719597092504E-3"/>
    <n v="0.82685891489969199"/>
    <x v="1"/>
    <n v="71.057575757575805"/>
    <n v="1563.2666666666701"/>
    <n v="382.84081632653101"/>
    <n v="379.99393631037498"/>
    <n v="0.99256380225214103"/>
    <n v="3"/>
    <n v="0.6"/>
    <n v="192.902361614569"/>
    <n v="1341.4248105941599"/>
    <n v="1727.2295338233"/>
    <x v="2"/>
    <x v="5"/>
  </r>
  <r>
    <x v="27"/>
    <x v="27"/>
    <n v="18364.5"/>
    <n v="7.0471115374898998E-3"/>
    <n v="0.83390602643718204"/>
    <x v="1"/>
    <n v="69.5625"/>
    <n v="1530.375"/>
    <n v="399.22826086956502"/>
    <n v="459.03013924918997"/>
    <n v="1.14979370009871"/>
    <n v="3"/>
    <n v="0.6"/>
    <n v="225.39481913408801"/>
    <n v="1423.0796017427799"/>
    <n v="1873.8692400109601"/>
    <x v="2"/>
    <x v="16"/>
  </r>
  <r>
    <x v="28"/>
    <x v="28"/>
    <n v="18057.96"/>
    <n v="6.9294812415002403E-3"/>
    <n v="0.84083550767868298"/>
    <x v="1"/>
    <n v="68.401363636363598"/>
    <n v="1504.83"/>
    <n v="440.43804878048797"/>
    <n v="1074.0041907535101"/>
    <n v="2.4384909381178099"/>
    <n v="3"/>
    <n v="0.6"/>
    <n v="484.31330613277697"/>
    <n v="1805.62745247424"/>
    <n v="2774.2540647398"/>
    <x v="2"/>
    <x v="17"/>
  </r>
  <r>
    <x v="29"/>
    <x v="29"/>
    <n v="15497.6"/>
    <n v="5.9469800845873E-3"/>
    <n v="0.84678248776327003"/>
    <x v="1"/>
    <n v="58.703030303030303"/>
    <n v="1291.4666666666701"/>
    <n v="377.99024390243898"/>
    <n v="379.52547727713699"/>
    <n v="1.0040615687824299"/>
    <n v="3"/>
    <n v="0.6"/>
    <n v="192.10918230522199"/>
    <n v="1326.07991401254"/>
    <n v="1710.29827862298"/>
    <x v="1"/>
    <x v="18"/>
  </r>
  <r>
    <x v="30"/>
    <x v="30"/>
    <n v="14014.79"/>
    <n v="5.3779731713086698E-3"/>
    <n v="0.85216046093457898"/>
    <x v="1"/>
    <n v="53.0863257575758"/>
    <n v="1167.89916666667"/>
    <n v="237.53881355932199"/>
    <n v="229.52969273836499"/>
    <n v="0.96628289625199604"/>
    <n v="3"/>
    <n v="0.6"/>
    <n v="117.329069126428"/>
    <n v="829.94550980439396"/>
    <n v="1064.60364805725"/>
    <x v="0"/>
    <x v="4"/>
  </r>
  <r>
    <x v="31"/>
    <x v="31"/>
    <n v="13847.25"/>
    <n v="5.3136821169924003E-3"/>
    <n v="0.85747414305157099"/>
    <x v="1"/>
    <n v="52.451704545454497"/>
    <n v="1153.9375"/>
    <n v="384.64583333333297"/>
    <n v="724.65224540317104"/>
    <n v="1.88394669226844"/>
    <n v="3"/>
    <n v="0.6"/>
    <n v="332.58164942178001"/>
    <n v="1486.51914942178"/>
    <n v="2151.6824482653401"/>
    <x v="2"/>
    <x v="15"/>
  </r>
  <r>
    <x v="32"/>
    <x v="32"/>
    <n v="13678.5"/>
    <n v="5.2489267426586899E-3"/>
    <n v="0.86272306979422997"/>
    <x v="1"/>
    <n v="51.8125"/>
    <n v="1139.875"/>
    <n v="427.453125"/>
    <n v="491.55243476047599"/>
    <n v="1.1499563484545201"/>
    <n v="3"/>
    <n v="0.6"/>
    <n v="241.35717315548601"/>
    <n v="1523.71654815549"/>
    <n v="2006.4308944664599"/>
    <x v="2"/>
    <x v="5"/>
  </r>
  <r>
    <x v="33"/>
    <x v="33"/>
    <n v="13372.4"/>
    <n v="5.1314652903117399E-3"/>
    <n v="0.86785453508454102"/>
    <x v="1"/>
    <n v="50.653030303030299"/>
    <n v="1114.36666666667"/>
    <n v="405.22424242424199"/>
    <n v="345.91355046302999"/>
    <n v="0.85363488717657299"/>
    <n v="3"/>
    <n v="0.6"/>
    <n v="183.24812254564199"/>
    <n v="1398.92084981837"/>
    <n v="1765.4170949096499"/>
    <x v="2"/>
    <x v="19"/>
  </r>
  <r>
    <x v="34"/>
    <x v="34"/>
    <n v="12803.7"/>
    <n v="4.9132348821127403E-3"/>
    <n v="0.87276776996665395"/>
    <x v="1"/>
    <n v="48.498863636363602"/>
    <n v="1066.9749999999999"/>
    <n v="103.25564516129"/>
    <n v="91.515550504453799"/>
    <n v="0.88630069921602805"/>
    <n v="3"/>
    <n v="0.6"/>
    <n v="47.926828141640399"/>
    <n v="357.69376362550997"/>
    <n v="453.54741990879103"/>
    <x v="0"/>
    <x v="20"/>
  </r>
  <r>
    <x v="35"/>
    <x v="35"/>
    <n v="12334.59"/>
    <n v="4.7332206974983002E-3"/>
    <n v="0.87750099066415199"/>
    <x v="1"/>
    <n v="46.721931818181801"/>
    <n v="1027.8824999999999"/>
    <n v="587.36142857142897"/>
    <n v="541.358143416036"/>
    <n v="0.92167806240310801"/>
    <n v="3"/>
    <n v="0.6"/>
    <n v="280.31221160899401"/>
    <n v="2042.3964973232801"/>
    <n v="2603.0209205412698"/>
    <x v="2"/>
    <x v="21"/>
  </r>
  <r>
    <x v="36"/>
    <x v="36"/>
    <n v="12063.7"/>
    <n v="4.62927057392343E-3"/>
    <n v="0.88213026123807603"/>
    <x v="1"/>
    <n v="45.695833333333297"/>
    <n v="1005.30833333333"/>
    <n v="207.99482758620701"/>
    <n v="301.54924515488102"/>
    <n v="1.4497920388423999"/>
    <n v="3"/>
    <n v="0.6"/>
    <n v="142.429229083819"/>
    <n v="766.41371184243997"/>
    <n v="1051.2721700100799"/>
    <x v="0"/>
    <x v="20"/>
  </r>
  <r>
    <x v="37"/>
    <x v="37"/>
    <n v="11970"/>
    <n v="4.5933145527378401E-3"/>
    <n v="0.88672357579081396"/>
    <x v="1"/>
    <n v="45.340909090909101"/>
    <n v="997.5"/>
    <n v="427.5"/>
    <n v="404.63672779603399"/>
    <n v="0.94651866151119002"/>
    <n v="3"/>
    <n v="0.6"/>
    <n v="207.983760058846"/>
    <n v="1490.4837600588501"/>
    <n v="1906.45128017654"/>
    <x v="2"/>
    <x v="18"/>
  </r>
  <r>
    <x v="38"/>
    <x v="38"/>
    <n v="11592.1"/>
    <n v="4.4483008877854897E-3"/>
    <n v="0.89563165125937805"/>
    <x v="1"/>
    <n v="43.909469696969701"/>
    <n v="966.00833333333298"/>
    <n v="269.58372093023303"/>
    <n v="309.00158570269099"/>
    <n v="1.14621752617867"/>
    <n v="3"/>
    <n v="0.6"/>
    <n v="151.822639879159"/>
    <n v="960.57380266985797"/>
    <n v="1264.2190824281799"/>
    <x v="2"/>
    <x v="22"/>
  </r>
  <r>
    <x v="39"/>
    <x v="39"/>
    <n v="10766.8686"/>
    <n v="4.1316302613029297E-3"/>
    <n v="0.89976328152068097"/>
    <x v="1"/>
    <n v="40.783593181818198"/>
    <n v="897.23905000000002"/>
    <n v="119.631873333333"/>
    <n v="253.97777271926699"/>
    <n v="2.1229941957993201"/>
    <n v="3"/>
    <n v="0.6"/>
    <n v="115.495693381084"/>
    <n v="474.39131338108302"/>
    <n v="705.38270014325201"/>
    <x v="0"/>
    <x v="10"/>
  </r>
  <r>
    <x v="40"/>
    <x v="40"/>
    <n v="10733.8"/>
    <n v="4.11894066384106E-3"/>
    <n v="0.90388222218452197"/>
    <x v="1"/>
    <n v="40.658333333333303"/>
    <n v="894.48333333333301"/>
    <n v="198.77407407407401"/>
    <n v="247.530150582186"/>
    <n v="1.24528388189067"/>
    <n v="3"/>
    <n v="0.6"/>
    <n v="119.72484470841999"/>
    <n v="716.04706693064202"/>
    <n v="955.49675634748303"/>
    <x v="2"/>
    <x v="16"/>
  </r>
  <r>
    <x v="41"/>
    <x v="41"/>
    <n v="10721.75"/>
    <n v="4.1143166504441896E-3"/>
    <n v="0.907996538834966"/>
    <x v="1"/>
    <n v="40.612689393939398"/>
    <n v="893.47916666666697"/>
    <n v="466.16304347826099"/>
    <n v="479.64974015548597"/>
    <n v="1.0289312867373499"/>
    <n v="3"/>
    <n v="0.6"/>
    <n v="241.34547720291201"/>
    <n v="1639.8346076376899"/>
    <n v="2122.52556204352"/>
    <x v="2"/>
    <x v="17"/>
  </r>
  <r>
    <x v="42"/>
    <x v="42"/>
    <n v="10549.2"/>
    <n v="4.0481030810143696E-3"/>
    <n v="0.91204464191598"/>
    <x v="1"/>
    <n v="39.959090909090897"/>
    <n v="879.1"/>
    <n v="340.296774193548"/>
    <n v="355.81903966658001"/>
    <n v="1.0456139071838599"/>
    <n v="3"/>
    <n v="0.6"/>
    <n v="178.35770317922601"/>
    <n v="1199.24802575987"/>
    <n v="1555.96343211832"/>
    <x v="2"/>
    <x v="23"/>
  </r>
  <r>
    <x v="43"/>
    <x v="43"/>
    <n v="10062"/>
    <n v="3.8611471202713598E-3"/>
    <n v="0.91590578903625197"/>
    <x v="1"/>
    <n v="38.113636363636402"/>
    <n v="838.5"/>
    <n v="201.24"/>
    <n v="284.64425057913098"/>
    <n v="1.4144516526492299"/>
    <n v="3"/>
    <n v="0.6"/>
    <n v="134.90931535498299"/>
    <n v="738.62931535498296"/>
    <n v="1008.44794606495"/>
    <x v="2"/>
    <x v="6"/>
  </r>
  <r>
    <x v="44"/>
    <x v="44"/>
    <n v="10018.200000000001"/>
    <n v="3.84433950311096E-3"/>
    <n v="0.919750128539362"/>
    <x v="1"/>
    <n v="37.947727272727299"/>
    <n v="834.85"/>
    <n v="185.52222222222201"/>
    <n v="305.868638197591"/>
    <n v="1.6486900304116401"/>
    <n v="3"/>
    <n v="0.6"/>
    <n v="142.20997484003701"/>
    <n v="698.77664150670296"/>
    <n v="983.19659118677703"/>
    <x v="2"/>
    <x v="24"/>
  </r>
  <r>
    <x v="45"/>
    <x v="45"/>
    <n v="9711"/>
    <n v="3.7264559416572401E-3"/>
    <n v="0.92347658448101999"/>
    <x v="1"/>
    <n v="36.784090909090899"/>
    <n v="809.25"/>
    <n v="462.42857142857099"/>
    <n v="487.94817362385601"/>
    <n v="1.0551860412008001"/>
    <n v="3"/>
    <n v="0.6"/>
    <n v="244.07208567633501"/>
    <n v="1631.35779996205"/>
    <n v="2119.5019713147199"/>
    <x v="2"/>
    <x v="18"/>
  </r>
  <r>
    <x v="46"/>
    <x v="46"/>
    <n v="9620.6500000000106"/>
    <n v="3.69178543456954E-3"/>
    <n v="0.92716836991558904"/>
    <x v="1"/>
    <n v="36.441856060606099"/>
    <n v="801.72083333333399"/>
    <n v="165.87327586206899"/>
    <n v="244.60109329981799"/>
    <n v="1.4746262894284099"/>
    <n v="3"/>
    <n v="0.6"/>
    <n v="115.266814733644"/>
    <n v="612.88664231985103"/>
    <n v="843.42027178713897"/>
    <x v="2"/>
    <x v="5"/>
  </r>
  <r>
    <x v="47"/>
    <x v="47"/>
    <n v="8628.2999999999993"/>
    <n v="3.3109854599321599E-3"/>
    <n v="0.93047935537552096"/>
    <x v="1"/>
    <n v="32.6829545454545"/>
    <n v="719.02499999999998"/>
    <n v="454.121052631579"/>
    <n v="630.09735630381203"/>
    <n v="1.38750967974832"/>
    <n v="3"/>
    <n v="0.6"/>
    <n v="299.47449037766899"/>
    <n v="1661.83764827241"/>
    <n v="2260.7866290277402"/>
    <x v="2"/>
    <x v="16"/>
  </r>
  <r>
    <x v="48"/>
    <x v="48"/>
    <n v="7999.2"/>
    <n v="3.0695774244160899E-3"/>
    <n v="0.933548932799937"/>
    <x v="1"/>
    <n v="30.3"/>
    <n v="666.6"/>
    <n v="249.97499999999999"/>
    <n v="356.35094608292201"/>
    <n v="1.42554633896558"/>
    <n v="3"/>
    <n v="0.6"/>
    <n v="168.708150498995"/>
    <n v="918.63315049899495"/>
    <n v="1256.0494514969901"/>
    <x v="2"/>
    <x v="18"/>
  </r>
  <r>
    <x v="49"/>
    <x v="49"/>
    <n v="7719"/>
    <n v="2.96205472285576E-3"/>
    <n v="0.93651098752279305"/>
    <x v="1"/>
    <n v="29.238636363636399"/>
    <n v="643.25"/>
    <n v="148.44230769230799"/>
    <n v="149.06146428821401"/>
    <n v="1.00417102513112"/>
    <n v="3"/>
    <n v="0.6"/>
    <n v="75.450271861811601"/>
    <n v="520.77719493873599"/>
    <n v="671.67773866235905"/>
    <x v="2"/>
    <x v="25"/>
  </r>
  <r>
    <x v="50"/>
    <x v="50"/>
    <n v="7705.25"/>
    <n v="2.9567783590211602E-3"/>
    <n v="0.93946776588181402"/>
    <x v="1"/>
    <n v="29.186553030302999"/>
    <n v="642.10416666666697"/>
    <n v="265.69827586206901"/>
    <n v="262.95962634253698"/>
    <n v="0.98969263345557701"/>
    <n v="3"/>
    <n v="0.6"/>
    <n v="133.58838496759199"/>
    <n v="930.68321255379897"/>
    <n v="1197.85998248898"/>
    <x v="0"/>
    <x v="6"/>
  </r>
  <r>
    <x v="51"/>
    <x v="51"/>
    <n v="7520.71"/>
    <n v="2.8859638003275699E-3"/>
    <n v="0.94235372968214204"/>
    <x v="1"/>
    <n v="28.487537878787901"/>
    <n v="626.72583333333296"/>
    <n v="117.51109375"/>
    <n v="140.41093862689701"/>
    <n v="1.19487389782633"/>
    <n v="3"/>
    <n v="0.6"/>
    <n v="68.429306847485194"/>
    <n v="420.96258809748502"/>
    <n v="557.82120179245601"/>
    <x v="2"/>
    <x v="26"/>
  </r>
  <r>
    <x v="52"/>
    <x v="52"/>
    <n v="7393.1"/>
    <n v="2.8369953065869799E-3"/>
    <n v="0.94519072498872903"/>
    <x v="1"/>
    <n v="28.004166666666698"/>
    <n v="616.09166666666704"/>
    <n v="410.72777777777799"/>
    <n v="379.28305867092399"/>
    <n v="0.92344145974985103"/>
    <n v="3"/>
    <n v="0.6"/>
    <n v="196.28502720049701"/>
    <n v="1428.46836053383"/>
    <n v="1821.0384149348299"/>
    <x v="2"/>
    <x v="27"/>
  </r>
  <r>
    <x v="53"/>
    <x v="53"/>
    <n v="7257.5"/>
    <n v="2.7849607657890502E-3"/>
    <n v="0.94797568575451796"/>
    <x v="1"/>
    <n v="27.490530303030301"/>
    <n v="604.79166666666697"/>
    <n v="381.97368421052602"/>
    <n v="331.12747099385098"/>
    <n v="0.86688555961187297"/>
    <n v="3"/>
    <n v="0.6"/>
    <n v="174.57804966675701"/>
    <n v="1320.4991022983299"/>
    <n v="1669.6552016318501"/>
    <x v="1"/>
    <x v="28"/>
  </r>
  <r>
    <x v="54"/>
    <x v="54"/>
    <n v="7175"/>
    <n v="2.7533025827814498E-3"/>
    <n v="0.95072898833729902"/>
    <x v="2"/>
    <n v="27.178030303030301"/>
    <n v="597.91666666666697"/>
    <n v="358.75"/>
    <n v="413.01483024220801"/>
    <n v="1.15126085084936"/>
    <n v="3"/>
    <n v="0.6"/>
    <n v="202.74818189230601"/>
    <n v="1278.99818189231"/>
    <n v="1684.4945456769201"/>
    <x v="2"/>
    <x v="13"/>
  </r>
  <r>
    <x v="55"/>
    <x v="55"/>
    <n v="6885"/>
    <n v="2.6420192728153799E-3"/>
    <n v="0.95337100761011495"/>
    <x v="2"/>
    <n v="26.079545454545499"/>
    <n v="573.75"/>
    <n v="186.08108108108101"/>
    <n v="282.28552609590702"/>
    <n v="1.5170028272401701"/>
    <n v="3"/>
    <n v="0.6"/>
    <n v="132.53747183585699"/>
    <n v="690.78071507909999"/>
    <n v="955.855658750815"/>
    <x v="2"/>
    <x v="29"/>
  </r>
  <r>
    <x v="56"/>
    <x v="56"/>
    <n v="6859.5"/>
    <n v="2.6322340162493901E-3"/>
    <n v="0.95600324162636396"/>
    <x v="2"/>
    <n v="25.982954545454501"/>
    <n v="571.625"/>
    <n v="57.162500000000001"/>
    <n v="77.903494557598094"/>
    <n v="1.36284267758755"/>
    <n v="3"/>
    <n v="0.6"/>
    <n v="37.125867606085102"/>
    <n v="208.61336760608501"/>
    <n v="282.86510281825502"/>
    <x v="0"/>
    <x v="11"/>
  </r>
  <r>
    <x v="57"/>
    <x v="57"/>
    <n v="6429.6000000000104"/>
    <n v="2.4672661026134699E-3"/>
    <n v="0.95847050772897802"/>
    <x v="2"/>
    <n v="24.354545454545502"/>
    <n v="535.80000000000098"/>
    <n v="149.52558139534901"/>
    <n v="195.836340920803"/>
    <n v="1.3097179699506301"/>
    <n v="3"/>
    <n v="0.6"/>
    <n v="93.914071691543597"/>
    <n v="542.49081587759099"/>
    <n v="730.31895926067796"/>
    <x v="2"/>
    <x v="26"/>
  </r>
  <r>
    <x v="58"/>
    <x v="58"/>
    <n v="5647.4"/>
    <n v="2.1671081541463398E-3"/>
    <n v="0.96063761588312402"/>
    <x v="2"/>
    <n v="21.391666666666701"/>
    <n v="470.61666666666702"/>
    <n v="256.7"/>
    <n v="275.805146883845"/>
    <n v="1.0744259714991999"/>
    <n v="3"/>
    <n v="0.6"/>
    <n v="137.39271212563401"/>
    <n v="907.49271212563394"/>
    <n v="1182.2781363769"/>
    <x v="2"/>
    <x v="18"/>
  </r>
  <r>
    <x v="59"/>
    <x v="59"/>
    <n v="5174.3999999999996"/>
    <n v="1.98560123823615E-3"/>
    <n v="0.96262321712136001"/>
    <x v="2"/>
    <n v="19.600000000000001"/>
    <n v="431.2"/>
    <n v="304.37647058823501"/>
    <n v="342.339027006511"/>
    <n v="1.1247223753692599"/>
    <n v="3"/>
    <n v="0.6"/>
    <n v="168.85789952878699"/>
    <n v="1081.9873112934899"/>
    <n v="1419.7031103510701"/>
    <x v="2"/>
    <x v="18"/>
  </r>
  <r>
    <x v="60"/>
    <x v="60"/>
    <n v="5106.2"/>
    <n v="1.9594304736165399E-3"/>
    <n v="0.96458264759497703"/>
    <x v="2"/>
    <n v="19.341666666666701"/>
    <n v="425.51666666666699"/>
    <n v="464.2"/>
    <n v="496.81427515722601"/>
    <n v="1.07025910201901"/>
    <n v="3"/>
    <n v="0.6"/>
    <n v="247.70492829114599"/>
    <n v="1640.30492829115"/>
    <n v="2135.7147848734398"/>
    <x v="2"/>
    <x v="30"/>
  </r>
  <r>
    <x v="61"/>
    <x v="61"/>
    <n v="4872"/>
    <n v="1.8695596074301401E-3"/>
    <n v="0.96645220720240699"/>
    <x v="2"/>
    <n v="18.454545454545499"/>
    <n v="406"/>
    <n v="442.90909090909099"/>
    <n v="443.24883181920598"/>
    <n v="1.0007670669152799"/>
    <n v="3"/>
    <n v="0.6"/>
    <n v="224.54859120399399"/>
    <n v="1553.2758639312699"/>
    <n v="2002.3730463392601"/>
    <x v="2"/>
    <x v="31"/>
  </r>
  <r>
    <x v="62"/>
    <x v="62"/>
    <n v="4796.5"/>
    <n v="1.8405875732838001E-3"/>
    <n v="0.96829279477569097"/>
    <x v="2"/>
    <n v="18.168560606060598"/>
    <n v="399.70833333333297"/>
    <n v="479.65"/>
    <n v="445.75269488809602"/>
    <n v="0.92932908347356602"/>
    <n v="3"/>
    <n v="0.6"/>
    <n v="230.274332664328"/>
    <n v="1669.2243326643299"/>
    <n v="2129.77299799298"/>
    <x v="2"/>
    <x v="31"/>
  </r>
  <r>
    <x v="63"/>
    <x v="63"/>
    <n v="4778.55"/>
    <n v="1.83369952013245E-3"/>
    <n v="0.97012649429582298"/>
    <x v="2"/>
    <n v="18.1005681818182"/>
    <n v="398.21249999999998"/>
    <n v="238.92750000000001"/>
    <n v="200.72869912226301"/>
    <n v="0.84012388327949905"/>
    <n v="3"/>
    <n v="0.6"/>
    <n v="106.875964754336"/>
    <n v="823.65846475433602"/>
    <n v="1037.4103942630099"/>
    <x v="2"/>
    <x v="32"/>
  </r>
  <r>
    <x v="64"/>
    <x v="64"/>
    <n v="4615.5"/>
    <n v="1.7711314384429E-3"/>
    <n v="0.97189762573426597"/>
    <x v="2"/>
    <n v="17.482954545454501"/>
    <n v="384.625"/>
    <n v="307.7"/>
    <n v="414.82637503969198"/>
    <n v="1.3481520150786199"/>
    <n v="3"/>
    <n v="0.6"/>
    <n v="198.019903482383"/>
    <n v="1121.1199034823801"/>
    <n v="1517.15971044715"/>
    <x v="2"/>
    <x v="33"/>
  </r>
  <r>
    <x v="65"/>
    <x v="65"/>
    <n v="4522.3"/>
    <n v="1.73536728503311E-3"/>
    <n v="0.97363299301929895"/>
    <x v="2"/>
    <n v="17.129924242424199"/>
    <n v="376.85833333333301"/>
    <n v="180.892"/>
    <n v="199.914154326301"/>
    <n v="1.1051575212076901"/>
    <n v="3"/>
    <n v="0.6"/>
    <n v="98.973774950903803"/>
    <n v="641.64977495090397"/>
    <n v="839.59732485271104"/>
    <x v="2"/>
    <x v="34"/>
  </r>
  <r>
    <x v="66"/>
    <x v="66"/>
    <n v="4224.3999999999996"/>
    <n v="1.62105246420933E-3"/>
    <n v="0.97688377037118401"/>
    <x v="2"/>
    <n v="16.0015151515152"/>
    <n v="352.03333333333302"/>
    <n v="469.37777777777802"/>
    <n v="423.23105326103399"/>
    <n v="0.90168532320549899"/>
    <n v="3"/>
    <n v="0.6"/>
    <n v="220.526840033268"/>
    <n v="1628.6601733666"/>
    <n v="2069.7138534331398"/>
    <x v="2"/>
    <x v="1"/>
  </r>
  <r>
    <x v="67"/>
    <x v="67"/>
    <n v="3982.5"/>
    <n v="1.52822683427556E-3"/>
    <n v="0.97841199720545902"/>
    <x v="2"/>
    <n v="15.0852272727273"/>
    <n v="331.875"/>
    <n v="442.5"/>
    <n v="549.91196795487201"/>
    <n v="1.24273891063248"/>
    <n v="3"/>
    <n v="0.6"/>
    <n v="266.07667397040399"/>
    <n v="1593.5766739704"/>
    <n v="2125.7300219112099"/>
    <x v="2"/>
    <x v="18"/>
  </r>
  <r>
    <x v="68"/>
    <x v="68"/>
    <n v="3932.5"/>
    <n v="1.5090400566952001E-3"/>
    <n v="0.97992103726215496"/>
    <x v="2"/>
    <n v="14.8958333333333"/>
    <n v="327.70833333333297"/>
    <n v="109.236111111111"/>
    <n v="128.39645556473599"/>
    <n v="1.1754030261488899"/>
    <n v="3"/>
    <n v="0.6"/>
    <n v="62.771558404236799"/>
    <n v="390.47989173756997"/>
    <n v="516.02300854604403"/>
    <x v="3"/>
    <x v="15"/>
  </r>
  <r>
    <x v="69"/>
    <x v="69"/>
    <n v="3860.8"/>
    <n v="1.4815262176449699E-3"/>
    <n v="0.98140256347980004"/>
    <x v="2"/>
    <n v="14.6242424242424"/>
    <n v="321.73333333333301"/>
    <n v="321.73333333333301"/>
    <n v="289.11497974880399"/>
    <n v="0.89861680402653599"/>
    <n v="3"/>
    <n v="0.6"/>
    <n v="150.794688443213"/>
    <n v="1115.99468844321"/>
    <n v="1417.58406532964"/>
    <x v="2"/>
    <x v="18"/>
  </r>
  <r>
    <x v="70"/>
    <x v="70"/>
    <n v="3546.4"/>
    <n v="1.3608797602196699E-3"/>
    <n v="0.98276344324001896"/>
    <x v="2"/>
    <n v="13.4333333333333"/>
    <n v="295.53333333333302"/>
    <n v="253.314285714286"/>
    <n v="252.62894303136099"/>
    <n v="0.99729449651451096"/>
    <n v="3"/>
    <n v="0.6"/>
    <n v="128.09252482039801"/>
    <n v="888.03538196325599"/>
    <n v="1144.22043160405"/>
    <x v="2"/>
    <x v="18"/>
  </r>
  <r>
    <x v="71"/>
    <x v="71"/>
    <n v="3278.1"/>
    <n v="1.25792351172347E-3"/>
    <n v="0.98402136675174301"/>
    <x v="2"/>
    <n v="12.4170454545455"/>
    <n v="273.17500000000001"/>
    <n v="172.53157894736799"/>
    <n v="155.536923278442"/>
    <n v="0.901498289341509"/>
    <n v="3"/>
    <n v="0.6"/>
    <n v="81.048248458724998"/>
    <n v="598.64298530082897"/>
    <n v="760.73948221827902"/>
    <x v="2"/>
    <x v="7"/>
  </r>
  <r>
    <x v="72"/>
    <x v="72"/>
    <n v="3118.8"/>
    <n v="1.19679443835245E-3"/>
    <n v="0.98521816119009498"/>
    <x v="2"/>
    <n v="11.8136363636364"/>
    <n v="259.89999999999998"/>
    <n v="259.89999999999998"/>
    <n v="315.48145889907801"/>
    <n v="1.2138570946482401"/>
    <n v="3"/>
    <n v="0.6"/>
    <n v="153.29774726847899"/>
    <n v="932.99774726847897"/>
    <n v="1239.5932418054399"/>
    <x v="2"/>
    <x v="18"/>
  </r>
  <r>
    <x v="73"/>
    <x v="73"/>
    <n v="2915.1"/>
    <n v="1.11862750649007E-3"/>
    <n v="0.98633678869658503"/>
    <x v="2"/>
    <n v="11.0420454545455"/>
    <n v="242.92500000000001"/>
    <n v="265.00909090909101"/>
    <n v="250.77650390156401"/>
    <n v="0.94629396690240397"/>
    <n v="3"/>
    <n v="0.6"/>
    <n v="128.90772213710201"/>
    <n v="923.93499486437497"/>
    <n v="1181.7504391385801"/>
    <x v="2"/>
    <x v="18"/>
  </r>
  <r>
    <x v="74"/>
    <x v="74"/>
    <n v="2801.2"/>
    <n v="1.0749200271620101E-3"/>
    <n v="0.98741170872374695"/>
    <x v="2"/>
    <n v="10.6106060606061"/>
    <n v="233.433333333333"/>
    <n v="147.431578947368"/>
    <n v="220.43803123334899"/>
    <n v="1.4951887024966599"/>
    <n v="3"/>
    <n v="0.6"/>
    <n v="103.691365975748"/>
    <n v="545.98610281785204"/>
    <n v="753.36883476934895"/>
    <x v="2"/>
    <x v="35"/>
  </r>
  <r>
    <x v="75"/>
    <x v="75"/>
    <n v="2796.85"/>
    <n v="1.0732507775125201E-3"/>
    <n v="0.98848495950126003"/>
    <x v="2"/>
    <n v="10.5941287878788"/>
    <n v="233.07083333333301"/>
    <n v="103.58703703703701"/>
    <n v="168.59619976588601"/>
    <n v="1.6275800967799201"/>
    <n v="3"/>
    <n v="0.6"/>
    <n v="78.498490955805494"/>
    <n v="389.25960206691701"/>
    <n v="546.25658397852703"/>
    <x v="0"/>
    <x v="20"/>
  </r>
  <r>
    <x v="76"/>
    <x v="76"/>
    <n v="2482.6999999999998"/>
    <n v="9.5270025397512404E-4"/>
    <n v="0.99039699863425301"/>
    <x v="2"/>
    <n v="9.4041666666666703"/>
    <n v="206.89166666666699"/>
    <n v="177.335714285714"/>
    <n v="158.52286710630901"/>
    <n v="0.89391394026194104"/>
    <n v="3"/>
    <n v="0.6"/>
    <n v="82.808644315326902"/>
    <n v="614.81578717246896"/>
    <n v="780.43307580312296"/>
    <x v="3"/>
    <x v="18"/>
  </r>
  <r>
    <x v="77"/>
    <x v="77"/>
    <n v="2420.5"/>
    <n v="9.2883190266515798E-4"/>
    <n v="0.99132583053691803"/>
    <x v="2"/>
    <n v="9.1685606060606109"/>
    <n v="201.708333333333"/>
    <n v="105.23913043478299"/>
    <n v="126.983877785297"/>
    <n v="1.20662226360745"/>
    <n v="3"/>
    <n v="0.6"/>
    <n v="61.772024717370201"/>
    <n v="377.48941602171902"/>
    <n v="501.03346545646002"/>
    <x v="2"/>
    <x v="36"/>
  </r>
  <r>
    <x v="78"/>
    <x v="78"/>
    <n v="1971.2"/>
    <n v="7.5641951932805596E-4"/>
    <n v="0.99208225005624595"/>
    <x v="2"/>
    <n v="7.4666666666666703"/>
    <n v="164.26666666666699"/>
    <n v="328.53333333333302"/>
    <n v="361.11823363916"/>
    <n v="1.09918293518413"/>
    <n v="3"/>
    <n v="0.6"/>
    <n v="178.99170727886801"/>
    <n v="1164.59170727887"/>
    <n v="1522.5751218365999"/>
    <x v="3"/>
    <x v="37"/>
  </r>
  <r>
    <x v="79"/>
    <x v="79"/>
    <n v="1777.5"/>
    <n v="6.8208994298174703E-4"/>
    <n v="0.99348998392731702"/>
    <x v="2"/>
    <n v="6.7329545454545503"/>
    <n v="148.125"/>
    <n v="444.375"/>
    <n v="287.265769802112"/>
    <n v="0.64644898970939402"/>
    <n v="3"/>
    <n v="0.6"/>
    <n v="169.01005481955499"/>
    <n v="1502.1350548195601"/>
    <n v="1840.15516445867"/>
    <x v="2"/>
    <x v="30"/>
  </r>
  <r>
    <x v="80"/>
    <x v="80"/>
    <n v="1523.05"/>
    <n v="5.8444843187530201E-4"/>
    <n v="0.99407443235919202"/>
    <x v="2"/>
    <n v="5.76912878787879"/>
    <n v="126.92083333333299"/>
    <n v="304.61"/>
    <n v="202.931421297935"/>
    <n v="0.66620078558791596"/>
    <n v="3"/>
    <n v="0.6"/>
    <n v="117.835204008845"/>
    <n v="1031.66520400885"/>
    <n v="1267.33561202654"/>
    <x v="1"/>
    <x v="9"/>
  </r>
  <r>
    <x v="81"/>
    <x v="81"/>
    <n v="1485"/>
    <n v="5.6984729413664999E-4"/>
    <n v="0.99464427965332902"/>
    <x v="2"/>
    <n v="5.625"/>
    <n v="123.75"/>
    <n v="212.142857142857"/>
    <n v="208.808866806807"/>
    <n v="0.98428422063814702"/>
    <n v="3"/>
    <n v="0.6"/>
    <n v="106.227090040356"/>
    <n v="742.65566146892695"/>
    <n v="955.10984154963899"/>
    <x v="2"/>
    <x v="36"/>
  </r>
  <r>
    <x v="82"/>
    <x v="82"/>
    <n v="1228.1500000000001"/>
    <n v="4.7128481770634798E-4"/>
    <n v="0.99567401481928897"/>
    <x v="2"/>
    <n v="4.65208333333333"/>
    <n v="102.345833333333"/>
    <n v="204.691666666667"/>
    <n v="116.51872560522899"/>
    <n v="0.569240201629585"/>
    <n v="3"/>
    <n v="0.6"/>
    <n v="72.825072593517504"/>
    <n v="686.90007259351796"/>
    <n v="832.55021778055402"/>
    <x v="2"/>
    <x v="22"/>
  </r>
  <r>
    <x v="83"/>
    <x v="83"/>
    <n v="1215.4000000000001"/>
    <n v="4.66392189423356E-4"/>
    <n v="0.99614040700871298"/>
    <x v="2"/>
    <n v="4.6037878787878803"/>
    <n v="101.283333333333"/>
    <n v="607.70000000000005"/>
    <n v="568.08958800527205"/>
    <n v="0.93481913445001197"/>
    <n v="3"/>
    <n v="0.6"/>
    <n v="292.99421388450497"/>
    <n v="2116.0942138845098"/>
    <n v="2702.0826416535201"/>
    <x v="2"/>
    <x v="18"/>
  </r>
  <r>
    <x v="84"/>
    <x v="84"/>
    <n v="823.75"/>
    <n v="3.1610216063640703E-4"/>
    <n v="0.99719980493281202"/>
    <x v="2"/>
    <n v="3.12026515151515"/>
    <n v="68.6458333333333"/>
    <n v="274.58333333333297"/>
    <n v="167.20577392343"/>
    <n v="0.60894363796090001"/>
    <n v="3"/>
    <n v="0.6"/>
    <n v="101.107181716086"/>
    <n v="924.85718171608505"/>
    <n v="1127.0715451482599"/>
    <x v="2"/>
    <x v="38"/>
  </r>
  <r>
    <x v="85"/>
    <x v="85"/>
    <n v="754.8"/>
    <n v="2.8964359435309302E-4"/>
    <n v="0.99748944852716503"/>
    <x v="2"/>
    <n v="2.8590909090909098"/>
    <n v="62.9"/>
    <n v="754.8"/>
    <e v="#DIV/0!"/>
    <e v="#DIV/0!"/>
    <n v="3"/>
    <n v="0.6"/>
    <e v="#DIV/0!"/>
    <e v="#DIV/0!"/>
    <s v=""/>
    <x v="3"/>
    <x v="18"/>
  </r>
  <r>
    <x v="86"/>
    <x v="86"/>
    <n v="630"/>
    <n v="2.4175339751251801E-4"/>
    <n v="0.99828608353230197"/>
    <x v="2"/>
    <n v="2.3863636363636398"/>
    <n v="52.5"/>
    <n v="157.5"/>
    <n v="90.568206341960902"/>
    <n v="0.57503623074260901"/>
    <n v="3"/>
    <n v="0.6"/>
    <n v="56.317214742632402"/>
    <n v="528.81721474263202"/>
    <n v="641.45164422789696"/>
    <x v="2"/>
    <x v="18"/>
  </r>
  <r>
    <x v="87"/>
    <x v="87"/>
    <n v="450"/>
    <n v="1.7268099822322701E-4"/>
    <n v="0.99885117250559796"/>
    <x v="2"/>
    <n v="1.7045454545454499"/>
    <n v="37.5"/>
    <n v="112.5"/>
    <n v="96.0468635614927"/>
    <n v="0.85374989832437997"/>
    <n v="3"/>
    <n v="0.6"/>
    <n v="50.878791128284497"/>
    <n v="388.378791128285"/>
    <n v="490.13637338485398"/>
    <x v="2"/>
    <x v="16"/>
  </r>
  <r>
    <x v="88"/>
    <x v="88"/>
    <n v="379.6"/>
    <n v="1.45666015390082E-4"/>
    <n v="0.99899683852098897"/>
    <x v="2"/>
    <n v="1.43787878787879"/>
    <n v="31.633333333333301"/>
    <n v="126.533333333333"/>
    <n v="103.58114371512499"/>
    <n v="0.81860756360741405"/>
    <n v="3"/>
    <n v="0.6"/>
    <n v="55.619841973520899"/>
    <n v="435.21984197351998"/>
    <n v="546.45952592056199"/>
    <x v="2"/>
    <x v="5"/>
  </r>
  <r>
    <x v="89"/>
    <x v="89"/>
    <n v="197.6"/>
    <n v="7.5826144997577098E-5"/>
    <n v="0.99957881185855602"/>
    <x v="2"/>
    <n v="0.74848484848484798"/>
    <n v="16.466666666666701"/>
    <n v="17.9636363636364"/>
    <n v="20.470040191815599"/>
    <n v="1.1395265288966201"/>
    <n v="3"/>
    <n v="0.6"/>
    <n v="10.069582888380999"/>
    <n v="63.960491979290197"/>
    <n v="84.099657756052295"/>
    <x v="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9FFAD-DAC9-4383-9DDD-8660750D1E1E}" name="Tabela dinâmica3" cacheId="6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B3:F98" firstHeaderRow="1" firstDataRow="1" firstDataCol="4"/>
  <pivotFields count="18">
    <pivotField axis="axisRow" compact="0" outline="0" showAll="0" sortType="descending" defaultSubtotal="0">
      <items count="90">
        <item x="36"/>
        <item x="34"/>
        <item x="75"/>
        <item x="19"/>
        <item x="12"/>
        <item x="56"/>
        <item x="30"/>
        <item x="6"/>
        <item x="18"/>
        <item x="48"/>
        <item x="14"/>
        <item x="4"/>
        <item x="38"/>
        <item x="43"/>
        <item x="44"/>
        <item x="8"/>
        <item x="82"/>
        <item x="50"/>
        <item x="9"/>
        <item x="25"/>
        <item x="73"/>
        <item x="88"/>
        <item x="26"/>
        <item x="62"/>
        <item x="60"/>
        <item x="46"/>
        <item x="37"/>
        <item x="71"/>
        <item x="10"/>
        <item x="33"/>
        <item x="42"/>
        <item x="55"/>
        <item x="21"/>
        <item x="84"/>
        <item x="69"/>
        <item x="83"/>
        <item x="77"/>
        <item x="81"/>
        <item x="49"/>
        <item x="65"/>
        <item x="59"/>
        <item x="57"/>
        <item x="64"/>
        <item x="74"/>
        <item x="52"/>
        <item x="51"/>
        <item x="76"/>
        <item x="68"/>
        <item x="78"/>
        <item x="85"/>
        <item x="39"/>
        <item x="15"/>
        <item x="89"/>
        <item x="16"/>
        <item x="29"/>
        <item x="5"/>
        <item x="0"/>
        <item x="13"/>
        <item x="53"/>
        <item x="1"/>
        <item x="80"/>
        <item x="32"/>
        <item x="11"/>
        <item x="61"/>
        <item x="79"/>
        <item x="7"/>
        <item x="58"/>
        <item x="63"/>
        <item x="2"/>
        <item x="17"/>
        <item x="23"/>
        <item x="3"/>
        <item x="66"/>
        <item x="72"/>
        <item x="27"/>
        <item x="47"/>
        <item x="87"/>
        <item x="40"/>
        <item x="86"/>
        <item x="45"/>
        <item x="31"/>
        <item x="20"/>
        <item x="28"/>
        <item x="41"/>
        <item x="24"/>
        <item x="67"/>
        <item x="22"/>
        <item x="70"/>
        <item x="35"/>
        <item x="5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 defaultSubtotal="0">
      <items count="90">
        <item x="32"/>
        <item x="7"/>
        <item x="11"/>
        <item x="61"/>
        <item x="79"/>
        <item x="63"/>
        <item x="3"/>
        <item x="2"/>
        <item x="17"/>
        <item x="66"/>
        <item x="23"/>
        <item x="58"/>
        <item x="40"/>
        <item x="27"/>
        <item x="47"/>
        <item x="87"/>
        <item x="72"/>
        <item x="86"/>
        <item x="31"/>
        <item x="24"/>
        <item x="20"/>
        <item x="28"/>
        <item x="41"/>
        <item x="45"/>
        <item x="54"/>
        <item x="22"/>
        <item x="70"/>
        <item x="35"/>
        <item x="67"/>
        <item x="89"/>
        <item x="39"/>
        <item x="16"/>
        <item x="15"/>
        <item x="5"/>
        <item x="1"/>
        <item x="0"/>
        <item x="13"/>
        <item x="80"/>
        <item x="53"/>
        <item x="29"/>
        <item x="88"/>
        <item x="46"/>
        <item x="26"/>
        <item x="62"/>
        <item x="60"/>
        <item x="73"/>
        <item x="71"/>
        <item x="21"/>
        <item x="10"/>
        <item x="33"/>
        <item x="42"/>
        <item x="37"/>
        <item x="55"/>
        <item x="84"/>
        <item x="65"/>
        <item x="83"/>
        <item x="77"/>
        <item x="81"/>
        <item x="69"/>
        <item x="49"/>
        <item x="51"/>
        <item x="57"/>
        <item x="64"/>
        <item x="74"/>
        <item x="59"/>
        <item x="52"/>
        <item x="68"/>
        <item x="78"/>
        <item x="76"/>
        <item x="85"/>
        <item x="36"/>
        <item x="75"/>
        <item x="34"/>
        <item x="19"/>
        <item x="56"/>
        <item x="12"/>
        <item x="30"/>
        <item x="18"/>
        <item x="6"/>
        <item x="14"/>
        <item x="8"/>
        <item x="4"/>
        <item x="38"/>
        <item x="82"/>
        <item x="43"/>
        <item x="48"/>
        <item x="44"/>
        <item x="50"/>
        <item x="25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" outline="0" showAll="0"/>
    <pivotField compact="0" numFmtId="9" outline="0" showAll="0"/>
    <pivotField compact="0" numFmtId="9" outline="0" showAll="0"/>
    <pivotField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40">
        <item x="20"/>
        <item x="8"/>
        <item x="11"/>
        <item x="10"/>
        <item x="4"/>
        <item x="24"/>
        <item x="6"/>
        <item x="22"/>
        <item x="2"/>
        <item x="28"/>
        <item x="9"/>
        <item x="0"/>
        <item x="3"/>
        <item x="30"/>
        <item x="31"/>
        <item x="5"/>
        <item x="29"/>
        <item x="23"/>
        <item x="19"/>
        <item x="7"/>
        <item x="38"/>
        <item x="14"/>
        <item x="25"/>
        <item x="1"/>
        <item x="32"/>
        <item x="36"/>
        <item x="34"/>
        <item x="27"/>
        <item x="16"/>
        <item x="35"/>
        <item x="33"/>
        <item x="26"/>
        <item x="17"/>
        <item x="37"/>
        <item x="12"/>
        <item x="15"/>
        <item x="21"/>
        <item x="13"/>
        <item x="18"/>
        <item t="default"/>
      </items>
    </pivotField>
  </pivotFields>
  <rowFields count="4">
    <field x="16"/>
    <field x="0"/>
    <field x="1"/>
    <field x="17"/>
  </rowFields>
  <rowItems count="95">
    <i>
      <x v="2"/>
      <x v="68"/>
      <x v="7"/>
      <x v="23"/>
    </i>
    <i r="1">
      <x v="71"/>
      <x v="6"/>
      <x v="23"/>
    </i>
    <i r="1">
      <x v="11"/>
      <x v="81"/>
      <x v="8"/>
    </i>
    <i r="1">
      <x v="65"/>
      <x v="1"/>
      <x v="15"/>
    </i>
    <i r="1">
      <x v="15"/>
      <x v="80"/>
      <x v="8"/>
    </i>
    <i r="1">
      <x v="28"/>
      <x v="48"/>
      <x v="19"/>
    </i>
    <i r="1">
      <x v="62"/>
      <x v="2"/>
      <x v="15"/>
    </i>
    <i r="1">
      <x v="10"/>
      <x v="79"/>
      <x v="8"/>
    </i>
    <i r="1">
      <x v="69"/>
      <x v="8"/>
      <x v="23"/>
    </i>
    <i r="1">
      <x v="81"/>
      <x v="20"/>
      <x v="34"/>
    </i>
    <i r="1">
      <x v="32"/>
      <x v="47"/>
      <x v="19"/>
    </i>
    <i r="1">
      <x v="86"/>
      <x v="25"/>
      <x v="37"/>
    </i>
    <i r="1">
      <x v="70"/>
      <x v="10"/>
      <x v="21"/>
    </i>
    <i r="1">
      <x v="84"/>
      <x v="19"/>
      <x v="35"/>
    </i>
    <i r="1">
      <x v="22"/>
      <x v="42"/>
      <x v="15"/>
    </i>
    <i r="1">
      <x v="74"/>
      <x v="13"/>
      <x v="28"/>
    </i>
    <i r="1">
      <x v="82"/>
      <x v="21"/>
      <x v="32"/>
    </i>
    <i r="1">
      <x v="80"/>
      <x v="18"/>
      <x v="35"/>
    </i>
    <i r="1">
      <x v="61"/>
      <x/>
      <x v="15"/>
    </i>
    <i r="1">
      <x v="29"/>
      <x v="49"/>
      <x v="18"/>
    </i>
    <i r="1">
      <x v="88"/>
      <x v="27"/>
      <x v="36"/>
    </i>
    <i r="1">
      <x v="26"/>
      <x v="51"/>
      <x v="38"/>
    </i>
    <i r="1">
      <x v="12"/>
      <x v="82"/>
      <x v="7"/>
    </i>
    <i r="1">
      <x v="77"/>
      <x v="12"/>
      <x v="28"/>
    </i>
    <i r="1">
      <x v="83"/>
      <x v="22"/>
      <x v="32"/>
    </i>
    <i r="1">
      <x v="30"/>
      <x v="50"/>
      <x v="17"/>
    </i>
    <i r="1">
      <x v="13"/>
      <x v="84"/>
      <x v="6"/>
    </i>
    <i r="1">
      <x v="14"/>
      <x v="86"/>
      <x v="5"/>
    </i>
    <i r="1">
      <x v="79"/>
      <x v="23"/>
      <x v="38"/>
    </i>
    <i r="1">
      <x v="25"/>
      <x v="41"/>
      <x v="15"/>
    </i>
    <i r="1">
      <x v="75"/>
      <x v="14"/>
      <x v="28"/>
    </i>
    <i r="1">
      <x v="9"/>
      <x v="85"/>
      <x v="38"/>
    </i>
    <i r="1">
      <x v="38"/>
      <x v="59"/>
      <x v="22"/>
    </i>
    <i r="1">
      <x v="45"/>
      <x v="60"/>
      <x v="31"/>
    </i>
    <i r="1">
      <x v="44"/>
      <x v="65"/>
      <x v="27"/>
    </i>
    <i r="1">
      <x v="89"/>
      <x v="24"/>
      <x v="37"/>
    </i>
    <i r="1">
      <x v="31"/>
      <x v="52"/>
      <x v="16"/>
    </i>
    <i r="1">
      <x v="41"/>
      <x v="61"/>
      <x v="31"/>
    </i>
    <i r="1">
      <x v="66"/>
      <x v="11"/>
      <x v="38"/>
    </i>
    <i r="1">
      <x v="40"/>
      <x v="64"/>
      <x v="38"/>
    </i>
    <i r="1">
      <x v="24"/>
      <x v="44"/>
      <x v="13"/>
    </i>
    <i r="1">
      <x v="63"/>
      <x v="3"/>
      <x v="14"/>
    </i>
    <i r="1">
      <x v="23"/>
      <x v="43"/>
      <x v="14"/>
    </i>
    <i r="1">
      <x v="67"/>
      <x v="5"/>
      <x v="24"/>
    </i>
    <i r="1">
      <x v="42"/>
      <x v="62"/>
      <x v="30"/>
    </i>
    <i r="1">
      <x v="39"/>
      <x v="54"/>
      <x v="26"/>
    </i>
    <i r="1">
      <x v="72"/>
      <x v="9"/>
      <x v="23"/>
    </i>
    <i r="1">
      <x v="85"/>
      <x v="28"/>
      <x v="38"/>
    </i>
    <i r="1">
      <x v="34"/>
      <x v="58"/>
      <x v="38"/>
    </i>
    <i r="1">
      <x v="87"/>
      <x v="26"/>
      <x v="38"/>
    </i>
    <i r="1">
      <x v="27"/>
      <x v="46"/>
      <x v="19"/>
    </i>
    <i r="1">
      <x v="73"/>
      <x v="16"/>
      <x v="38"/>
    </i>
    <i r="1">
      <x v="20"/>
      <x v="45"/>
      <x v="38"/>
    </i>
    <i r="1">
      <x v="43"/>
      <x v="63"/>
      <x v="29"/>
    </i>
    <i r="1">
      <x v="36"/>
      <x v="56"/>
      <x v="25"/>
    </i>
    <i r="1">
      <x v="64"/>
      <x v="4"/>
      <x v="13"/>
    </i>
    <i r="1">
      <x v="37"/>
      <x v="57"/>
      <x v="25"/>
    </i>
    <i r="1">
      <x v="16"/>
      <x v="83"/>
      <x v="7"/>
    </i>
    <i r="1">
      <x v="35"/>
      <x v="55"/>
      <x v="38"/>
    </i>
    <i r="1">
      <x v="33"/>
      <x v="53"/>
      <x v="20"/>
    </i>
    <i r="1">
      <x v="78"/>
      <x v="17"/>
      <x v="38"/>
    </i>
    <i r="1">
      <x v="76"/>
      <x v="15"/>
      <x v="28"/>
    </i>
    <i r="1">
      <x v="21"/>
      <x v="40"/>
      <x v="15"/>
    </i>
    <i t="default">
      <x v="2"/>
    </i>
    <i>
      <x/>
      <x v="56"/>
      <x v="35"/>
      <x v="11"/>
    </i>
    <i r="1">
      <x v="7"/>
      <x v="78"/>
      <x v="4"/>
    </i>
    <i r="1">
      <x v="18"/>
      <x v="89"/>
      <x v="6"/>
    </i>
    <i r="1">
      <x v="4"/>
      <x v="75"/>
      <x v="1"/>
    </i>
    <i r="1">
      <x v="51"/>
      <x v="32"/>
      <x v="3"/>
    </i>
    <i r="1">
      <x v="53"/>
      <x v="31"/>
      <x v="3"/>
    </i>
    <i r="1">
      <x v="8"/>
      <x v="77"/>
      <x v="4"/>
    </i>
    <i r="1">
      <x v="3"/>
      <x v="73"/>
      <x v="2"/>
    </i>
    <i r="1">
      <x v="19"/>
      <x v="88"/>
      <x v="6"/>
    </i>
    <i r="1">
      <x v="6"/>
      <x v="76"/>
      <x v="4"/>
    </i>
    <i r="1">
      <x v="1"/>
      <x v="72"/>
      <x/>
    </i>
    <i r="1">
      <x/>
      <x v="70"/>
      <x/>
    </i>
    <i r="1">
      <x v="50"/>
      <x v="30"/>
      <x v="3"/>
    </i>
    <i r="1">
      <x v="17"/>
      <x v="87"/>
      <x v="6"/>
    </i>
    <i r="1">
      <x v="5"/>
      <x v="74"/>
      <x v="2"/>
    </i>
    <i r="1">
      <x v="2"/>
      <x v="71"/>
      <x/>
    </i>
    <i r="1">
      <x v="52"/>
      <x v="29"/>
      <x v="3"/>
    </i>
    <i t="default">
      <x/>
    </i>
    <i>
      <x v="1"/>
      <x v="59"/>
      <x v="34"/>
      <x v="11"/>
    </i>
    <i r="1">
      <x v="55"/>
      <x v="33"/>
      <x v="12"/>
    </i>
    <i r="1">
      <x v="57"/>
      <x v="36"/>
      <x v="10"/>
    </i>
    <i r="1">
      <x v="54"/>
      <x v="39"/>
      <x v="38"/>
    </i>
    <i r="1">
      <x v="58"/>
      <x v="38"/>
      <x v="9"/>
    </i>
    <i r="1">
      <x v="60"/>
      <x v="37"/>
      <x v="10"/>
    </i>
    <i t="default">
      <x v="1"/>
    </i>
    <i>
      <x v="3"/>
      <x v="47"/>
      <x v="66"/>
      <x v="35"/>
    </i>
    <i r="1">
      <x v="46"/>
      <x v="68"/>
      <x v="38"/>
    </i>
    <i r="1">
      <x v="48"/>
      <x v="67"/>
      <x v="33"/>
    </i>
    <i r="1">
      <x v="49"/>
      <x v="69"/>
      <x v="38"/>
    </i>
    <i t="default">
      <x v="3"/>
    </i>
    <i t="grand">
      <x/>
    </i>
  </rowItems>
  <colItems count="1">
    <i/>
  </colItems>
  <dataFields count="1">
    <dataField name="Diário Kg" fld="6" baseField="0" baseItem="0" numFmtId="4"/>
  </dataFields>
  <formats count="2">
    <format dxfId="11">
      <pivotArea outline="0" collapsedLevelsAreSubtotals="1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A7CB-89CC-4CBF-9919-43307953B527}">
  <dimension ref="B3:F188"/>
  <sheetViews>
    <sheetView showGridLines="0" workbookViewId="0">
      <selection activeCell="E32" sqref="E32"/>
    </sheetView>
  </sheetViews>
  <sheetFormatPr defaultRowHeight="15"/>
  <cols>
    <col min="2" max="2" width="31" bestFit="1" customWidth="1"/>
    <col min="3" max="3" width="10.42578125" bestFit="1" customWidth="1"/>
    <col min="4" max="4" width="31.5703125" style="19" bestFit="1" customWidth="1"/>
    <col min="5" max="5" width="9.7109375" bestFit="1" customWidth="1"/>
    <col min="6" max="7" width="8.85546875" bestFit="1" customWidth="1"/>
  </cols>
  <sheetData>
    <row r="3" spans="2:6">
      <c r="B3" s="18" t="s">
        <v>16</v>
      </c>
      <c r="C3" s="18" t="s">
        <v>0</v>
      </c>
      <c r="D3" s="18" t="s">
        <v>1</v>
      </c>
      <c r="E3" s="18" t="s">
        <v>211</v>
      </c>
      <c r="F3" s="19" t="s">
        <v>206</v>
      </c>
    </row>
    <row r="4" spans="2:6">
      <c r="B4" t="s">
        <v>26</v>
      </c>
      <c r="C4" t="s">
        <v>24</v>
      </c>
      <c r="D4" t="s">
        <v>25</v>
      </c>
      <c r="E4">
        <v>210</v>
      </c>
      <c r="F4" s="19">
        <v>564.61742424242402</v>
      </c>
    </row>
    <row r="5" spans="2:6">
      <c r="C5" t="s">
        <v>27</v>
      </c>
      <c r="D5" t="s">
        <v>28</v>
      </c>
      <c r="E5">
        <v>210</v>
      </c>
      <c r="F5" s="19">
        <v>520.46893946969703</v>
      </c>
    </row>
    <row r="6" spans="2:6">
      <c r="C6" t="s">
        <v>29</v>
      </c>
      <c r="D6" t="s">
        <v>30</v>
      </c>
      <c r="E6">
        <v>145</v>
      </c>
      <c r="F6" s="19">
        <v>457.37359848484903</v>
      </c>
    </row>
    <row r="7" spans="2:6">
      <c r="C7" t="s">
        <v>35</v>
      </c>
      <c r="D7" t="s">
        <v>36</v>
      </c>
      <c r="E7">
        <v>170</v>
      </c>
      <c r="F7" s="19">
        <v>274.39886363636401</v>
      </c>
    </row>
    <row r="8" spans="2:6">
      <c r="C8" t="s">
        <v>37</v>
      </c>
      <c r="D8" t="s">
        <v>38</v>
      </c>
      <c r="E8">
        <v>145</v>
      </c>
      <c r="F8" s="19">
        <v>254.51022727272701</v>
      </c>
    </row>
    <row r="9" spans="2:6">
      <c r="C9" t="s">
        <v>41</v>
      </c>
      <c r="D9" t="s">
        <v>42</v>
      </c>
      <c r="E9">
        <v>190</v>
      </c>
      <c r="F9" s="19">
        <v>159.40340909090901</v>
      </c>
    </row>
    <row r="10" spans="2:6">
      <c r="C10" t="s">
        <v>43</v>
      </c>
      <c r="D10" t="s">
        <v>44</v>
      </c>
      <c r="E10">
        <v>170</v>
      </c>
      <c r="F10" s="19">
        <v>150.33905303030301</v>
      </c>
    </row>
    <row r="11" spans="2:6">
      <c r="C11" t="s">
        <v>49</v>
      </c>
      <c r="D11" t="s">
        <v>50</v>
      </c>
      <c r="E11">
        <v>145</v>
      </c>
      <c r="F11" s="19">
        <v>130.134659090909</v>
      </c>
    </row>
    <row r="12" spans="2:6">
      <c r="C12" t="s">
        <v>55</v>
      </c>
      <c r="D12" t="s">
        <v>56</v>
      </c>
      <c r="E12">
        <v>210</v>
      </c>
      <c r="F12" s="19">
        <v>111.012121212121</v>
      </c>
    </row>
    <row r="13" spans="2:6">
      <c r="C13" t="s">
        <v>61</v>
      </c>
      <c r="D13" t="s">
        <v>62</v>
      </c>
      <c r="E13">
        <v>289</v>
      </c>
      <c r="F13" s="19">
        <v>91.178749999999994</v>
      </c>
    </row>
    <row r="14" spans="2:6">
      <c r="C14" t="s">
        <v>63</v>
      </c>
      <c r="D14" t="s">
        <v>64</v>
      </c>
      <c r="E14">
        <v>190</v>
      </c>
      <c r="F14" s="19">
        <v>88.850189393939402</v>
      </c>
    </row>
    <row r="15" spans="2:6">
      <c r="C15" t="s">
        <v>65</v>
      </c>
      <c r="D15" t="s">
        <v>66</v>
      </c>
      <c r="E15">
        <v>369</v>
      </c>
      <c r="F15" s="19">
        <v>87.016287878787907</v>
      </c>
    </row>
    <row r="16" spans="2:6">
      <c r="C16" t="s">
        <v>67</v>
      </c>
      <c r="D16" t="s">
        <v>68</v>
      </c>
      <c r="E16">
        <v>207</v>
      </c>
      <c r="F16" s="19">
        <v>84.651136363636397</v>
      </c>
    </row>
    <row r="17" spans="3:6">
      <c r="C17" t="s">
        <v>70</v>
      </c>
      <c r="D17" t="s">
        <v>71</v>
      </c>
      <c r="E17">
        <v>290</v>
      </c>
      <c r="F17" s="19">
        <v>75.821969696969703</v>
      </c>
    </row>
    <row r="18" spans="3:6">
      <c r="C18" t="s">
        <v>74</v>
      </c>
      <c r="D18" t="s">
        <v>75</v>
      </c>
      <c r="E18">
        <v>170</v>
      </c>
      <c r="F18" s="19">
        <v>71.057575757575805</v>
      </c>
    </row>
    <row r="19" spans="3:6">
      <c r="C19" t="s">
        <v>76</v>
      </c>
      <c r="D19" t="s">
        <v>77</v>
      </c>
      <c r="E19">
        <v>234</v>
      </c>
      <c r="F19" s="19">
        <v>69.5625</v>
      </c>
    </row>
    <row r="20" spans="3:6">
      <c r="C20" t="s">
        <v>78</v>
      </c>
      <c r="D20" t="s">
        <v>79</v>
      </c>
      <c r="E20">
        <v>287</v>
      </c>
      <c r="F20" s="19">
        <v>68.401363636363598</v>
      </c>
    </row>
    <row r="21" spans="3:6">
      <c r="C21" t="s">
        <v>84</v>
      </c>
      <c r="D21" t="s">
        <v>85</v>
      </c>
      <c r="E21">
        <v>290</v>
      </c>
      <c r="F21" s="19">
        <v>52.451704545454497</v>
      </c>
    </row>
    <row r="22" spans="3:6">
      <c r="C22" t="s">
        <v>86</v>
      </c>
      <c r="D22" t="s">
        <v>87</v>
      </c>
      <c r="E22">
        <v>170</v>
      </c>
      <c r="F22" s="19">
        <v>51.8125</v>
      </c>
    </row>
    <row r="23" spans="3:6">
      <c r="C23" t="s">
        <v>88</v>
      </c>
      <c r="D23" t="s">
        <v>89</v>
      </c>
      <c r="E23">
        <v>188</v>
      </c>
      <c r="F23" s="19">
        <v>50.653030303030299</v>
      </c>
    </row>
    <row r="24" spans="3:6">
      <c r="C24" t="s">
        <v>92</v>
      </c>
      <c r="D24" t="s">
        <v>93</v>
      </c>
      <c r="E24">
        <v>367</v>
      </c>
      <c r="F24" s="19">
        <v>46.721931818181801</v>
      </c>
    </row>
    <row r="25" spans="3:6">
      <c r="C25" t="s">
        <v>96</v>
      </c>
      <c r="D25" t="s">
        <v>97</v>
      </c>
      <c r="F25" s="19">
        <v>45.340909090909101</v>
      </c>
    </row>
    <row r="26" spans="3:6">
      <c r="C26" t="s">
        <v>98</v>
      </c>
      <c r="D26" t="s">
        <v>99</v>
      </c>
      <c r="E26">
        <v>144</v>
      </c>
      <c r="F26" s="19">
        <v>43.909469696969701</v>
      </c>
    </row>
    <row r="27" spans="3:6">
      <c r="C27" t="s">
        <v>102</v>
      </c>
      <c r="D27" t="s">
        <v>103</v>
      </c>
      <c r="E27">
        <v>234</v>
      </c>
      <c r="F27" s="19">
        <v>40.658333333333303</v>
      </c>
    </row>
    <row r="28" spans="3:6">
      <c r="C28" t="s">
        <v>104</v>
      </c>
      <c r="D28" t="s">
        <v>105</v>
      </c>
      <c r="E28">
        <v>287</v>
      </c>
      <c r="F28" s="19">
        <v>40.612689393939398</v>
      </c>
    </row>
    <row r="29" spans="3:6">
      <c r="C29" t="s">
        <v>106</v>
      </c>
      <c r="D29" t="s">
        <v>107</v>
      </c>
      <c r="E29">
        <v>187</v>
      </c>
      <c r="F29" s="19">
        <v>39.959090909090897</v>
      </c>
    </row>
    <row r="30" spans="3:6">
      <c r="C30" t="s">
        <v>108</v>
      </c>
      <c r="D30" t="s">
        <v>109</v>
      </c>
      <c r="E30">
        <v>142</v>
      </c>
      <c r="F30" s="19">
        <v>38.113636363636402</v>
      </c>
    </row>
    <row r="31" spans="3:6">
      <c r="C31" t="s">
        <v>110</v>
      </c>
      <c r="D31" t="s">
        <v>111</v>
      </c>
      <c r="E31">
        <v>133</v>
      </c>
      <c r="F31" s="19">
        <v>37.947727272727299</v>
      </c>
    </row>
    <row r="32" spans="3:6">
      <c r="C32" t="s">
        <v>112</v>
      </c>
      <c r="D32" t="s">
        <v>113</v>
      </c>
      <c r="F32" s="19">
        <v>36.784090909090899</v>
      </c>
    </row>
    <row r="33" spans="3:6">
      <c r="C33" t="s">
        <v>114</v>
      </c>
      <c r="D33" t="s">
        <v>115</v>
      </c>
      <c r="E33">
        <v>170</v>
      </c>
      <c r="F33" s="19">
        <v>36.441856060606099</v>
      </c>
    </row>
    <row r="34" spans="3:6">
      <c r="C34" t="s">
        <v>116</v>
      </c>
      <c r="D34" t="s">
        <v>117</v>
      </c>
      <c r="E34">
        <v>234</v>
      </c>
      <c r="F34" s="19">
        <v>32.6829545454545</v>
      </c>
    </row>
    <row r="35" spans="3:6">
      <c r="C35" t="s">
        <v>118</v>
      </c>
      <c r="D35" t="s">
        <v>119</v>
      </c>
      <c r="F35" s="19">
        <v>30.3</v>
      </c>
    </row>
    <row r="36" spans="3:6">
      <c r="C36" t="s">
        <v>120</v>
      </c>
      <c r="D36" t="s">
        <v>121</v>
      </c>
      <c r="E36">
        <v>208</v>
      </c>
      <c r="F36" s="19">
        <v>29.238636363636399</v>
      </c>
    </row>
    <row r="37" spans="3:6">
      <c r="C37" t="s">
        <v>124</v>
      </c>
      <c r="D37" t="s">
        <v>125</v>
      </c>
      <c r="E37">
        <v>240</v>
      </c>
      <c r="F37" s="19">
        <v>28.487537878787901</v>
      </c>
    </row>
    <row r="38" spans="3:6">
      <c r="C38" t="s">
        <v>126</v>
      </c>
      <c r="D38" t="s">
        <v>127</v>
      </c>
      <c r="E38">
        <v>233</v>
      </c>
      <c r="F38" s="19">
        <v>28.004166666666698</v>
      </c>
    </row>
    <row r="39" spans="3:6">
      <c r="C39" t="s">
        <v>130</v>
      </c>
      <c r="D39" t="s">
        <v>131</v>
      </c>
      <c r="E39">
        <v>369</v>
      </c>
      <c r="F39" s="19">
        <v>27.178030303030301</v>
      </c>
    </row>
    <row r="40" spans="3:6">
      <c r="C40" t="s">
        <v>133</v>
      </c>
      <c r="D40" t="s">
        <v>134</v>
      </c>
      <c r="E40">
        <v>180</v>
      </c>
      <c r="F40" s="19">
        <v>26.079545454545499</v>
      </c>
    </row>
    <row r="41" spans="3:6">
      <c r="C41" t="s">
        <v>137</v>
      </c>
      <c r="D41" t="s">
        <v>138</v>
      </c>
      <c r="E41">
        <v>240</v>
      </c>
      <c r="F41" s="19">
        <v>24.354545454545502</v>
      </c>
    </row>
    <row r="42" spans="3:6">
      <c r="C42" t="s">
        <v>139</v>
      </c>
      <c r="D42" t="s">
        <v>140</v>
      </c>
      <c r="F42" s="19">
        <v>21.391666666666701</v>
      </c>
    </row>
    <row r="43" spans="3:6">
      <c r="C43" t="s">
        <v>141</v>
      </c>
      <c r="D43" t="s">
        <v>142</v>
      </c>
      <c r="F43" s="19">
        <v>19.600000000000001</v>
      </c>
    </row>
    <row r="44" spans="3:6">
      <c r="C44" t="s">
        <v>143</v>
      </c>
      <c r="D44" t="s">
        <v>144</v>
      </c>
      <c r="E44">
        <v>167</v>
      </c>
      <c r="F44" s="19">
        <v>19.341666666666701</v>
      </c>
    </row>
    <row r="45" spans="3:6">
      <c r="C45" t="s">
        <v>145</v>
      </c>
      <c r="D45" t="s">
        <v>146</v>
      </c>
      <c r="E45">
        <v>168</v>
      </c>
      <c r="F45" s="19">
        <v>18.454545454545499</v>
      </c>
    </row>
    <row r="46" spans="3:6">
      <c r="C46" t="s">
        <v>147</v>
      </c>
      <c r="D46" t="s">
        <v>148</v>
      </c>
      <c r="E46">
        <v>168</v>
      </c>
      <c r="F46" s="19">
        <v>18.168560606060598</v>
      </c>
    </row>
    <row r="47" spans="3:6">
      <c r="C47" t="s">
        <v>149</v>
      </c>
      <c r="D47" t="s">
        <v>150</v>
      </c>
      <c r="E47">
        <v>211</v>
      </c>
      <c r="F47" s="19">
        <v>18.1005681818182</v>
      </c>
    </row>
    <row r="48" spans="3:6">
      <c r="C48" t="s">
        <v>151</v>
      </c>
      <c r="D48" t="s">
        <v>152</v>
      </c>
      <c r="E48">
        <v>238</v>
      </c>
      <c r="F48" s="19">
        <v>17.482954545454501</v>
      </c>
    </row>
    <row r="49" spans="3:6">
      <c r="C49" t="s">
        <v>153</v>
      </c>
      <c r="D49" t="s">
        <v>154</v>
      </c>
      <c r="E49">
        <v>215</v>
      </c>
      <c r="F49" s="19">
        <v>17.129924242424199</v>
      </c>
    </row>
    <row r="50" spans="3:6">
      <c r="C50" t="s">
        <v>155</v>
      </c>
      <c r="D50" t="s">
        <v>156</v>
      </c>
      <c r="E50">
        <v>210</v>
      </c>
      <c r="F50" s="19">
        <v>16.0015151515152</v>
      </c>
    </row>
    <row r="51" spans="3:6">
      <c r="C51" t="s">
        <v>157</v>
      </c>
      <c r="D51" t="s">
        <v>158</v>
      </c>
      <c r="F51" s="19">
        <v>15.0852272727273</v>
      </c>
    </row>
    <row r="52" spans="3:6">
      <c r="C52" t="s">
        <v>162</v>
      </c>
      <c r="D52" t="s">
        <v>163</v>
      </c>
      <c r="F52" s="19">
        <v>14.6242424242424</v>
      </c>
    </row>
    <row r="53" spans="3:6">
      <c r="C53" t="s">
        <v>164</v>
      </c>
      <c r="D53" t="s">
        <v>165</v>
      </c>
      <c r="F53" s="19">
        <v>13.4333333333333</v>
      </c>
    </row>
    <row r="54" spans="3:6">
      <c r="C54" t="s">
        <v>166</v>
      </c>
      <c r="D54" t="s">
        <v>167</v>
      </c>
      <c r="E54">
        <v>190</v>
      </c>
      <c r="F54" s="19">
        <v>12.4170454545455</v>
      </c>
    </row>
    <row r="55" spans="3:6">
      <c r="C55" t="s">
        <v>168</v>
      </c>
      <c r="D55" t="s">
        <v>169</v>
      </c>
      <c r="F55" s="19">
        <v>11.8136363636364</v>
      </c>
    </row>
    <row r="56" spans="3:6">
      <c r="C56" t="s">
        <v>170</v>
      </c>
      <c r="D56" t="s">
        <v>171</v>
      </c>
      <c r="F56" s="19">
        <v>11.0420454545455</v>
      </c>
    </row>
    <row r="57" spans="3:6">
      <c r="C57" t="s">
        <v>172</v>
      </c>
      <c r="D57" t="s">
        <v>173</v>
      </c>
      <c r="E57">
        <v>236</v>
      </c>
      <c r="F57" s="19">
        <v>10.6106060606061</v>
      </c>
    </row>
    <row r="58" spans="3:6">
      <c r="C58" t="s">
        <v>178</v>
      </c>
      <c r="D58" t="s">
        <v>179</v>
      </c>
      <c r="E58">
        <v>214</v>
      </c>
      <c r="F58" s="19">
        <v>9.1685606060606109</v>
      </c>
    </row>
    <row r="59" spans="3:6">
      <c r="C59" t="s">
        <v>182</v>
      </c>
      <c r="D59" t="s">
        <v>183</v>
      </c>
      <c r="E59">
        <v>167</v>
      </c>
      <c r="F59" s="19">
        <v>6.7329545454545503</v>
      </c>
    </row>
    <row r="60" spans="3:6">
      <c r="C60" t="s">
        <v>186</v>
      </c>
      <c r="D60" t="s">
        <v>187</v>
      </c>
      <c r="E60">
        <v>214</v>
      </c>
      <c r="F60" s="19">
        <v>5.625</v>
      </c>
    </row>
    <row r="61" spans="3:6">
      <c r="C61" t="s">
        <v>188</v>
      </c>
      <c r="D61" t="s">
        <v>189</v>
      </c>
      <c r="E61">
        <v>144</v>
      </c>
      <c r="F61" s="19">
        <v>4.65208333333333</v>
      </c>
    </row>
    <row r="62" spans="3:6">
      <c r="C62" t="s">
        <v>190</v>
      </c>
      <c r="D62" t="s">
        <v>191</v>
      </c>
      <c r="F62" s="19">
        <v>4.6037878787878803</v>
      </c>
    </row>
    <row r="63" spans="3:6">
      <c r="C63" t="s">
        <v>192</v>
      </c>
      <c r="D63" t="s">
        <v>193</v>
      </c>
      <c r="E63">
        <v>194</v>
      </c>
      <c r="F63" s="19">
        <v>3.12026515151515</v>
      </c>
    </row>
    <row r="64" spans="3:6">
      <c r="C64" t="s">
        <v>197</v>
      </c>
      <c r="D64" t="s">
        <v>198</v>
      </c>
      <c r="F64" s="19">
        <v>2.3863636363636398</v>
      </c>
    </row>
    <row r="65" spans="2:6">
      <c r="C65" t="s">
        <v>199</v>
      </c>
      <c r="D65" t="s">
        <v>200</v>
      </c>
      <c r="E65">
        <v>234</v>
      </c>
      <c r="F65" s="19">
        <v>1.7045454545454499</v>
      </c>
    </row>
    <row r="66" spans="2:6">
      <c r="C66" t="s">
        <v>201</v>
      </c>
      <c r="D66" t="s">
        <v>202</v>
      </c>
      <c r="E66">
        <v>170</v>
      </c>
      <c r="F66" s="19">
        <v>1.43787878787879</v>
      </c>
    </row>
    <row r="67" spans="2:6">
      <c r="B67" t="s">
        <v>207</v>
      </c>
      <c r="D67"/>
      <c r="F67" s="19">
        <v>4340.6594318939397</v>
      </c>
    </row>
    <row r="68" spans="2:6">
      <c r="B68" t="s">
        <v>20</v>
      </c>
      <c r="C68" t="s">
        <v>17</v>
      </c>
      <c r="D68" t="s">
        <v>18</v>
      </c>
      <c r="E68">
        <v>164</v>
      </c>
      <c r="F68" s="19">
        <v>1868.8754545454501</v>
      </c>
    </row>
    <row r="69" spans="2:6">
      <c r="C69" t="s">
        <v>33</v>
      </c>
      <c r="D69" t="s">
        <v>34</v>
      </c>
      <c r="E69">
        <v>118</v>
      </c>
      <c r="F69" s="19">
        <v>349.57685378787897</v>
      </c>
    </row>
    <row r="70" spans="2:6">
      <c r="C70" t="s">
        <v>39</v>
      </c>
      <c r="D70" t="s">
        <v>40</v>
      </c>
      <c r="E70">
        <v>142</v>
      </c>
      <c r="F70" s="19">
        <v>227.74848484848499</v>
      </c>
    </row>
    <row r="71" spans="2:6">
      <c r="C71" t="s">
        <v>45</v>
      </c>
      <c r="D71" t="s">
        <v>46</v>
      </c>
      <c r="E71">
        <v>90</v>
      </c>
      <c r="F71" s="19">
        <v>143.87651515151299</v>
      </c>
    </row>
    <row r="72" spans="2:6">
      <c r="C72" t="s">
        <v>51</v>
      </c>
      <c r="D72" t="s">
        <v>52</v>
      </c>
      <c r="E72">
        <v>102</v>
      </c>
      <c r="F72" s="19">
        <v>129.35303030303101</v>
      </c>
    </row>
    <row r="73" spans="2:6">
      <c r="C73" t="s">
        <v>53</v>
      </c>
      <c r="D73" t="s">
        <v>54</v>
      </c>
      <c r="E73">
        <v>102</v>
      </c>
      <c r="F73" s="19">
        <v>124.544318181817</v>
      </c>
    </row>
    <row r="74" spans="2:6">
      <c r="C74" t="s">
        <v>57</v>
      </c>
      <c r="D74" t="s">
        <v>58</v>
      </c>
      <c r="E74">
        <v>118</v>
      </c>
      <c r="F74" s="19">
        <v>110.625568181818</v>
      </c>
    </row>
    <row r="75" spans="2:6">
      <c r="C75" t="s">
        <v>59</v>
      </c>
      <c r="D75" t="s">
        <v>60</v>
      </c>
      <c r="E75">
        <v>91</v>
      </c>
      <c r="F75" s="19">
        <v>103.509090909091</v>
      </c>
    </row>
    <row r="76" spans="2:6">
      <c r="C76" t="s">
        <v>72</v>
      </c>
      <c r="D76" t="s">
        <v>73</v>
      </c>
      <c r="E76">
        <v>142</v>
      </c>
      <c r="F76" s="19">
        <v>72.343939393939394</v>
      </c>
    </row>
    <row r="77" spans="2:6">
      <c r="C77" t="s">
        <v>82</v>
      </c>
      <c r="D77" t="s">
        <v>83</v>
      </c>
      <c r="E77">
        <v>118</v>
      </c>
      <c r="F77" s="19">
        <v>53.0863257575758</v>
      </c>
    </row>
    <row r="78" spans="2:6">
      <c r="C78" t="s">
        <v>90</v>
      </c>
      <c r="D78" t="s">
        <v>91</v>
      </c>
      <c r="E78">
        <v>65</v>
      </c>
      <c r="F78" s="19">
        <v>48.498863636363602</v>
      </c>
    </row>
    <row r="79" spans="2:6">
      <c r="C79" t="s">
        <v>94</v>
      </c>
      <c r="D79" t="s">
        <v>95</v>
      </c>
      <c r="E79">
        <v>65</v>
      </c>
      <c r="F79" s="19">
        <v>45.695833333333297</v>
      </c>
    </row>
    <row r="80" spans="2:6">
      <c r="C80" t="s">
        <v>100</v>
      </c>
      <c r="D80" t="s">
        <v>101</v>
      </c>
      <c r="E80">
        <v>102</v>
      </c>
      <c r="F80" s="19">
        <v>40.783593181818198</v>
      </c>
    </row>
    <row r="81" spans="2:6">
      <c r="C81" t="s">
        <v>122</v>
      </c>
      <c r="D81" t="s">
        <v>123</v>
      </c>
      <c r="E81">
        <v>142</v>
      </c>
      <c r="F81" s="19">
        <v>29.186553030302999</v>
      </c>
    </row>
    <row r="82" spans="2:6">
      <c r="C82" t="s">
        <v>135</v>
      </c>
      <c r="D82" t="s">
        <v>136</v>
      </c>
      <c r="E82">
        <v>91</v>
      </c>
      <c r="F82" s="19">
        <v>25.982954545454501</v>
      </c>
    </row>
    <row r="83" spans="2:6">
      <c r="C83" t="s">
        <v>174</v>
      </c>
      <c r="D83" t="s">
        <v>175</v>
      </c>
      <c r="E83">
        <v>65</v>
      </c>
      <c r="F83" s="19">
        <v>10.5941287878788</v>
      </c>
    </row>
    <row r="84" spans="2:6">
      <c r="C84" t="s">
        <v>203</v>
      </c>
      <c r="D84" t="s">
        <v>204</v>
      </c>
      <c r="E84">
        <v>102</v>
      </c>
      <c r="F84" s="19">
        <v>0.74848484848484798</v>
      </c>
    </row>
    <row r="85" spans="2:6">
      <c r="B85" t="s">
        <v>208</v>
      </c>
      <c r="D85"/>
      <c r="F85" s="19">
        <v>3385.0299924242354</v>
      </c>
    </row>
    <row r="86" spans="2:6">
      <c r="B86" t="s">
        <v>23</v>
      </c>
      <c r="C86" t="s">
        <v>21</v>
      </c>
      <c r="D86" t="s">
        <v>22</v>
      </c>
      <c r="E86">
        <v>164</v>
      </c>
      <c r="F86" s="19">
        <v>1373.1996212121201</v>
      </c>
    </row>
    <row r="87" spans="2:6">
      <c r="C87" t="s">
        <v>31</v>
      </c>
      <c r="D87" t="s">
        <v>32</v>
      </c>
      <c r="E87">
        <v>166</v>
      </c>
      <c r="F87" s="19">
        <v>401.04185606060599</v>
      </c>
    </row>
    <row r="88" spans="2:6">
      <c r="C88" t="s">
        <v>47</v>
      </c>
      <c r="D88" t="s">
        <v>48</v>
      </c>
      <c r="E88">
        <v>162</v>
      </c>
      <c r="F88" s="19">
        <v>136.449621212121</v>
      </c>
    </row>
    <row r="89" spans="2:6">
      <c r="C89" t="s">
        <v>80</v>
      </c>
      <c r="D89" t="s">
        <v>81</v>
      </c>
      <c r="F89" s="19">
        <v>58.703030303030303</v>
      </c>
    </row>
    <row r="90" spans="2:6">
      <c r="C90" t="s">
        <v>128</v>
      </c>
      <c r="D90" t="s">
        <v>129</v>
      </c>
      <c r="E90">
        <v>159</v>
      </c>
      <c r="F90" s="19">
        <v>27.490530303030301</v>
      </c>
    </row>
    <row r="91" spans="2:6">
      <c r="C91" t="s">
        <v>184</v>
      </c>
      <c r="D91" t="s">
        <v>185</v>
      </c>
      <c r="E91">
        <v>162</v>
      </c>
      <c r="F91" s="19">
        <v>5.76912878787879</v>
      </c>
    </row>
    <row r="92" spans="2:6">
      <c r="B92" t="s">
        <v>209</v>
      </c>
      <c r="D92"/>
      <c r="F92" s="19">
        <v>2002.6537878787863</v>
      </c>
    </row>
    <row r="93" spans="2:6">
      <c r="B93" t="s">
        <v>161</v>
      </c>
      <c r="C93" t="s">
        <v>159</v>
      </c>
      <c r="D93" t="s">
        <v>160</v>
      </c>
      <c r="E93">
        <v>290</v>
      </c>
      <c r="F93" s="19">
        <v>14.8958333333333</v>
      </c>
    </row>
    <row r="94" spans="2:6">
      <c r="C94" t="s">
        <v>176</v>
      </c>
      <c r="D94" t="s">
        <v>177</v>
      </c>
      <c r="F94" s="19">
        <v>9.4041666666666703</v>
      </c>
    </row>
    <row r="95" spans="2:6">
      <c r="C95" t="s">
        <v>180</v>
      </c>
      <c r="D95" t="s">
        <v>181</v>
      </c>
      <c r="E95">
        <v>288</v>
      </c>
      <c r="F95" s="19">
        <v>7.4666666666666703</v>
      </c>
    </row>
    <row r="96" spans="2:6">
      <c r="C96" t="s">
        <v>194</v>
      </c>
      <c r="D96" t="s">
        <v>195</v>
      </c>
      <c r="F96" s="19">
        <v>2.8590909090909098</v>
      </c>
    </row>
    <row r="97" spans="2:6">
      <c r="B97" t="s">
        <v>210</v>
      </c>
      <c r="D97"/>
      <c r="F97" s="19">
        <v>34.625757575757547</v>
      </c>
    </row>
    <row r="98" spans="2:6">
      <c r="B98" t="s">
        <v>205</v>
      </c>
      <c r="D98"/>
      <c r="F98" s="19">
        <v>9762.9689697727208</v>
      </c>
    </row>
    <row r="99" spans="2:6">
      <c r="D99"/>
    </row>
    <row r="100" spans="2:6">
      <c r="D100"/>
    </row>
    <row r="101" spans="2:6">
      <c r="D101"/>
    </row>
    <row r="102" spans="2:6">
      <c r="D102"/>
    </row>
    <row r="103" spans="2:6">
      <c r="D103"/>
    </row>
    <row r="104" spans="2:6">
      <c r="D104"/>
    </row>
    <row r="105" spans="2:6">
      <c r="D105"/>
    </row>
    <row r="106" spans="2:6">
      <c r="D106"/>
    </row>
    <row r="107" spans="2:6">
      <c r="D107"/>
    </row>
    <row r="108" spans="2:6">
      <c r="D108"/>
    </row>
    <row r="109" spans="2:6">
      <c r="D109"/>
    </row>
    <row r="110" spans="2:6">
      <c r="D110"/>
    </row>
    <row r="111" spans="2:6">
      <c r="D111"/>
    </row>
    <row r="112" spans="2:6">
      <c r="D112"/>
    </row>
    <row r="113" spans="4:4">
      <c r="D113"/>
    </row>
    <row r="114" spans="4:4">
      <c r="D114"/>
    </row>
    <row r="115" spans="4:4">
      <c r="D115"/>
    </row>
    <row r="116" spans="4:4">
      <c r="D116"/>
    </row>
    <row r="117" spans="4:4">
      <c r="D117"/>
    </row>
    <row r="118" spans="4:4">
      <c r="D118"/>
    </row>
    <row r="119" spans="4:4">
      <c r="D119"/>
    </row>
    <row r="120" spans="4:4">
      <c r="D120"/>
    </row>
    <row r="121" spans="4:4">
      <c r="D121"/>
    </row>
    <row r="122" spans="4:4">
      <c r="D122"/>
    </row>
    <row r="123" spans="4:4">
      <c r="D123"/>
    </row>
    <row r="124" spans="4:4">
      <c r="D124"/>
    </row>
    <row r="125" spans="4:4">
      <c r="D125"/>
    </row>
    <row r="126" spans="4:4">
      <c r="D126"/>
    </row>
    <row r="127" spans="4:4">
      <c r="D127"/>
    </row>
    <row r="128" spans="4:4">
      <c r="D128"/>
    </row>
    <row r="129" spans="4:4">
      <c r="D129"/>
    </row>
    <row r="130" spans="4:4">
      <c r="D130"/>
    </row>
    <row r="131" spans="4:4">
      <c r="D131"/>
    </row>
    <row r="132" spans="4:4">
      <c r="D132"/>
    </row>
    <row r="133" spans="4:4">
      <c r="D133"/>
    </row>
    <row r="134" spans="4:4">
      <c r="D134"/>
    </row>
    <row r="135" spans="4:4">
      <c r="D135"/>
    </row>
    <row r="136" spans="4:4">
      <c r="D136"/>
    </row>
    <row r="137" spans="4:4">
      <c r="D137"/>
    </row>
    <row r="138" spans="4:4">
      <c r="D138"/>
    </row>
    <row r="139" spans="4:4">
      <c r="D139"/>
    </row>
    <row r="140" spans="4:4">
      <c r="D140"/>
    </row>
    <row r="141" spans="4:4">
      <c r="D141"/>
    </row>
    <row r="142" spans="4:4">
      <c r="D142"/>
    </row>
    <row r="143" spans="4:4">
      <c r="D143"/>
    </row>
    <row r="144" spans="4:4">
      <c r="D144"/>
    </row>
    <row r="145" spans="4:4">
      <c r="D145"/>
    </row>
    <row r="146" spans="4:4">
      <c r="D146"/>
    </row>
    <row r="147" spans="4:4">
      <c r="D147"/>
    </row>
    <row r="148" spans="4:4">
      <c r="D148"/>
    </row>
    <row r="149" spans="4:4">
      <c r="D149"/>
    </row>
    <row r="150" spans="4:4">
      <c r="D150"/>
    </row>
    <row r="151" spans="4:4">
      <c r="D151"/>
    </row>
    <row r="152" spans="4:4">
      <c r="D152"/>
    </row>
    <row r="153" spans="4:4">
      <c r="D153"/>
    </row>
    <row r="154" spans="4:4">
      <c r="D154"/>
    </row>
    <row r="155" spans="4:4">
      <c r="D155"/>
    </row>
    <row r="156" spans="4:4">
      <c r="D156"/>
    </row>
    <row r="157" spans="4:4">
      <c r="D157"/>
    </row>
    <row r="158" spans="4:4">
      <c r="D158"/>
    </row>
    <row r="159" spans="4:4">
      <c r="D159"/>
    </row>
    <row r="160" spans="4:4">
      <c r="D160"/>
    </row>
    <row r="161" spans="4:4">
      <c r="D161"/>
    </row>
    <row r="162" spans="4:4">
      <c r="D162"/>
    </row>
    <row r="163" spans="4:4">
      <c r="D163"/>
    </row>
    <row r="164" spans="4:4">
      <c r="D164"/>
    </row>
    <row r="165" spans="4:4">
      <c r="D165"/>
    </row>
    <row r="166" spans="4:4">
      <c r="D166"/>
    </row>
    <row r="167" spans="4:4">
      <c r="D167"/>
    </row>
    <row r="168" spans="4:4">
      <c r="D168"/>
    </row>
    <row r="169" spans="4:4">
      <c r="D169"/>
    </row>
    <row r="170" spans="4:4">
      <c r="D170"/>
    </row>
    <row r="171" spans="4:4">
      <c r="D171"/>
    </row>
    <row r="172" spans="4:4">
      <c r="D172"/>
    </row>
    <row r="173" spans="4:4">
      <c r="D173"/>
    </row>
    <row r="174" spans="4:4">
      <c r="D174"/>
    </row>
    <row r="175" spans="4:4">
      <c r="D175"/>
    </row>
    <row r="176" spans="4:4">
      <c r="D176"/>
    </row>
    <row r="177" spans="4:4">
      <c r="D177"/>
    </row>
    <row r="178" spans="4:4">
      <c r="D178"/>
    </row>
    <row r="179" spans="4:4">
      <c r="D179"/>
    </row>
    <row r="180" spans="4:4">
      <c r="D180"/>
    </row>
    <row r="181" spans="4:4">
      <c r="D181"/>
    </row>
    <row r="182" spans="4:4">
      <c r="D182"/>
    </row>
    <row r="183" spans="4:4">
      <c r="D183"/>
    </row>
    <row r="184" spans="4:4">
      <c r="D184"/>
    </row>
    <row r="185" spans="4:4">
      <c r="D185"/>
    </row>
    <row r="186" spans="4:4">
      <c r="D186"/>
    </row>
    <row r="187" spans="4:4">
      <c r="D187"/>
    </row>
    <row r="188" spans="4:4">
      <c r="D18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1"/>
  <sheetViews>
    <sheetView showGridLines="0" tabSelected="1" workbookViewId="0">
      <selection activeCell="B15" sqref="B15"/>
    </sheetView>
  </sheetViews>
  <sheetFormatPr defaultColWidth="9" defaultRowHeight="15"/>
  <cols>
    <col min="1" max="1" width="8.140625" bestFit="1" customWidth="1"/>
    <col min="2" max="2" width="29.7109375" bestFit="1" customWidth="1"/>
    <col min="3" max="3" width="11.85546875" style="1" customWidth="1"/>
    <col min="4" max="4" width="4.5703125" style="2" customWidth="1"/>
    <col min="5" max="5" width="11" style="2" customWidth="1"/>
    <col min="6" max="6" width="4.5703125" customWidth="1"/>
    <col min="7" max="7" width="10.140625" style="1" customWidth="1"/>
    <col min="8" max="8" width="7.5703125" style="1" customWidth="1"/>
    <col min="9" max="9" width="6.7109375" style="1" customWidth="1"/>
    <col min="10" max="10" width="12.42578125" style="1" customWidth="1"/>
    <col min="11" max="11" width="14.140625" style="2" customWidth="1"/>
    <col min="12" max="12" width="10" customWidth="1"/>
    <col min="13" max="13" width="18.140625" customWidth="1"/>
    <col min="14" max="14" width="20.5703125" style="1" customWidth="1"/>
    <col min="15" max="15" width="23.28515625" style="1" customWidth="1"/>
    <col min="16" max="16" width="16" style="1" customWidth="1"/>
    <col min="17" max="17" width="25.85546875" customWidth="1"/>
    <col min="18" max="18" width="7.42578125" bestFit="1" customWidth="1"/>
  </cols>
  <sheetData>
    <row r="1" spans="1:18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15" t="s">
        <v>16</v>
      </c>
      <c r="R1" s="15" t="s">
        <v>211</v>
      </c>
    </row>
    <row r="2" spans="1:18">
      <c r="A2" s="7" t="s">
        <v>17</v>
      </c>
      <c r="B2" s="8" t="s">
        <v>18</v>
      </c>
      <c r="C2" s="9">
        <v>493383.12</v>
      </c>
      <c r="D2" s="10">
        <v>0.189328643706867</v>
      </c>
      <c r="E2" s="10">
        <v>0.189328643706867</v>
      </c>
      <c r="F2" s="8" t="s">
        <v>19</v>
      </c>
      <c r="G2" s="9">
        <v>1868.8754545454501</v>
      </c>
      <c r="H2" s="9">
        <v>41115.26</v>
      </c>
      <c r="I2" s="9">
        <v>2005.6224390243899</v>
      </c>
      <c r="J2" s="9">
        <v>1279.12724327357</v>
      </c>
      <c r="K2" s="10">
        <v>0.63777070817764903</v>
      </c>
      <c r="L2" s="8">
        <v>3</v>
      </c>
      <c r="M2" s="8">
        <v>0.6</v>
      </c>
      <c r="N2" s="9">
        <v>757.12309712451201</v>
      </c>
      <c r="O2" s="9">
        <v>6773.9904141976804</v>
      </c>
      <c r="P2" s="9">
        <v>8288.2366084467103</v>
      </c>
      <c r="Q2" s="16" t="s">
        <v>20</v>
      </c>
      <c r="R2" s="16">
        <v>164</v>
      </c>
    </row>
    <row r="3" spans="1:18">
      <c r="A3" s="11" t="s">
        <v>21</v>
      </c>
      <c r="B3" s="12" t="s">
        <v>22</v>
      </c>
      <c r="C3" s="13">
        <v>362524.69999999902</v>
      </c>
      <c r="D3" s="14">
        <v>0.139113615725724</v>
      </c>
      <c r="E3" s="14">
        <v>0.32844225943259098</v>
      </c>
      <c r="F3" s="12" t="s">
        <v>19</v>
      </c>
      <c r="G3" s="13">
        <v>1373.1996212121201</v>
      </c>
      <c r="H3" s="13">
        <v>30210.391666666601</v>
      </c>
      <c r="I3" s="13">
        <v>1516.83974895398</v>
      </c>
      <c r="J3" s="13">
        <v>1119.4836819004599</v>
      </c>
      <c r="K3" s="14">
        <v>0.73803688403634404</v>
      </c>
      <c r="L3" s="12">
        <v>3</v>
      </c>
      <c r="M3" s="12">
        <v>0.6</v>
      </c>
      <c r="N3" s="13">
        <v>623.69374357048503</v>
      </c>
      <c r="O3" s="13">
        <v>5174.2129904324302</v>
      </c>
      <c r="P3" s="13">
        <v>6421.6004775734</v>
      </c>
      <c r="Q3" s="17" t="s">
        <v>23</v>
      </c>
      <c r="R3" s="17">
        <v>164</v>
      </c>
    </row>
    <row r="4" spans="1:18">
      <c r="A4" s="7" t="s">
        <v>24</v>
      </c>
      <c r="B4" s="8" t="s">
        <v>25</v>
      </c>
      <c r="C4" s="9">
        <v>149059</v>
      </c>
      <c r="D4" s="10">
        <v>5.7199237587013403E-2</v>
      </c>
      <c r="E4" s="10">
        <v>0.38564149701960498</v>
      </c>
      <c r="F4" s="8" t="s">
        <v>19</v>
      </c>
      <c r="G4" s="9">
        <v>564.61742424242402</v>
      </c>
      <c r="H4" s="9">
        <v>12421.583333333299</v>
      </c>
      <c r="I4" s="9">
        <v>686.90783410138204</v>
      </c>
      <c r="J4" s="9">
        <v>674.326267527249</v>
      </c>
      <c r="K4" s="10">
        <v>0.98168376316366701</v>
      </c>
      <c r="L4" s="8">
        <v>3</v>
      </c>
      <c r="M4" s="8">
        <v>0.6</v>
      </c>
      <c r="N4" s="9">
        <v>343.28206373389003</v>
      </c>
      <c r="O4" s="9">
        <v>2404.0055660380399</v>
      </c>
      <c r="P4" s="9">
        <v>3090.5696935058199</v>
      </c>
      <c r="Q4" s="16" t="s">
        <v>26</v>
      </c>
      <c r="R4" s="16">
        <v>210</v>
      </c>
    </row>
    <row r="5" spans="1:18">
      <c r="A5" s="11" t="s">
        <v>27</v>
      </c>
      <c r="B5" s="12" t="s">
        <v>28</v>
      </c>
      <c r="C5" s="13">
        <v>137403.80002</v>
      </c>
      <c r="D5" s="14">
        <v>5.2726722993596202E-2</v>
      </c>
      <c r="E5" s="14">
        <v>0.43836822001320103</v>
      </c>
      <c r="F5" s="12" t="s">
        <v>19</v>
      </c>
      <c r="G5" s="13">
        <v>520.46893946969703</v>
      </c>
      <c r="H5" s="13">
        <v>11450.3166683333</v>
      </c>
      <c r="I5" s="13">
        <v>697.48121837563497</v>
      </c>
      <c r="J5" s="13">
        <v>734.08191509978894</v>
      </c>
      <c r="K5" s="14">
        <v>1.0524755301790001</v>
      </c>
      <c r="L5" s="12">
        <v>3</v>
      </c>
      <c r="M5" s="12">
        <v>0.6</v>
      </c>
      <c r="N5" s="13">
        <v>367.40648323209001</v>
      </c>
      <c r="O5" s="13">
        <v>2459.8501383589901</v>
      </c>
      <c r="P5" s="13">
        <v>3194.6631048231702</v>
      </c>
      <c r="Q5" s="17" t="s">
        <v>26</v>
      </c>
      <c r="R5" s="17">
        <v>210</v>
      </c>
    </row>
    <row r="6" spans="1:18">
      <c r="A6" s="7" t="s">
        <v>29</v>
      </c>
      <c r="B6" s="8" t="s">
        <v>30</v>
      </c>
      <c r="C6" s="9">
        <v>120746.63</v>
      </c>
      <c r="D6" s="10">
        <v>4.6334774667756998E-2</v>
      </c>
      <c r="E6" s="10">
        <v>0.48470299468095801</v>
      </c>
      <c r="F6" s="8" t="s">
        <v>19</v>
      </c>
      <c r="G6" s="9">
        <v>457.37359848484903</v>
      </c>
      <c r="H6" s="9">
        <v>10062.2191666667</v>
      </c>
      <c r="I6" s="9">
        <v>543.90373873873898</v>
      </c>
      <c r="J6" s="9">
        <v>512.69887832987297</v>
      </c>
      <c r="K6" s="10">
        <v>0.94262797221944605</v>
      </c>
      <c r="L6" s="8">
        <v>3</v>
      </c>
      <c r="M6" s="8">
        <v>0.6</v>
      </c>
      <c r="N6" s="9">
        <v>263.82323381484503</v>
      </c>
      <c r="O6" s="9">
        <v>1895.53445003106</v>
      </c>
      <c r="P6" s="9">
        <v>2423.1809176607499</v>
      </c>
      <c r="Q6" s="16" t="s">
        <v>26</v>
      </c>
      <c r="R6" s="16">
        <v>145</v>
      </c>
    </row>
    <row r="7" spans="1:18">
      <c r="A7" s="11" t="s">
        <v>31</v>
      </c>
      <c r="B7" s="12" t="s">
        <v>32</v>
      </c>
      <c r="C7" s="13">
        <v>105875.05</v>
      </c>
      <c r="D7" s="14">
        <v>4.0628020713186899E-2</v>
      </c>
      <c r="E7" s="14">
        <v>0.52533101539414495</v>
      </c>
      <c r="F7" s="12" t="s">
        <v>19</v>
      </c>
      <c r="G7" s="13">
        <v>401.04185606060599</v>
      </c>
      <c r="H7" s="13">
        <v>8822.9208333333299</v>
      </c>
      <c r="I7" s="13">
        <v>691.99379084967302</v>
      </c>
      <c r="J7" s="13">
        <v>784.89974647537895</v>
      </c>
      <c r="K7" s="14">
        <v>1.134258365977</v>
      </c>
      <c r="L7" s="12">
        <v>3</v>
      </c>
      <c r="M7" s="12">
        <v>0.6</v>
      </c>
      <c r="N7" s="13">
        <v>386.47336570514398</v>
      </c>
      <c r="O7" s="13">
        <v>2462.45473825416</v>
      </c>
      <c r="P7" s="13">
        <v>3235.4014696644499</v>
      </c>
      <c r="Q7" s="17" t="s">
        <v>23</v>
      </c>
      <c r="R7" s="17">
        <v>166</v>
      </c>
    </row>
    <row r="8" spans="1:18">
      <c r="A8" s="7" t="s">
        <v>33</v>
      </c>
      <c r="B8" s="8" t="s">
        <v>34</v>
      </c>
      <c r="C8" s="9">
        <v>92288.289399999994</v>
      </c>
      <c r="D8" s="10">
        <v>3.5414297639791301E-2</v>
      </c>
      <c r="E8" s="10">
        <v>0.56074531303393604</v>
      </c>
      <c r="F8" s="8" t="s">
        <v>19</v>
      </c>
      <c r="G8" s="9">
        <v>349.57685378787897</v>
      </c>
      <c r="H8" s="9">
        <v>7690.6907833333298</v>
      </c>
      <c r="I8" s="9">
        <v>427.26059907407398</v>
      </c>
      <c r="J8" s="9">
        <v>404.69466655876101</v>
      </c>
      <c r="K8" s="10">
        <v>0.94718461621732297</v>
      </c>
      <c r="L8" s="8">
        <v>3</v>
      </c>
      <c r="M8" s="8">
        <v>0.6</v>
      </c>
      <c r="N8" s="9">
        <v>207.973891342494</v>
      </c>
      <c r="O8" s="9">
        <v>1489.75568856472</v>
      </c>
      <c r="P8" s="9">
        <v>1905.7034712497</v>
      </c>
      <c r="Q8" s="16" t="s">
        <v>20</v>
      </c>
      <c r="R8" s="16">
        <v>118</v>
      </c>
    </row>
    <row r="9" spans="1:18">
      <c r="A9" s="11" t="s">
        <v>35</v>
      </c>
      <c r="B9" s="12" t="s">
        <v>36</v>
      </c>
      <c r="C9" s="13">
        <v>72441.3</v>
      </c>
      <c r="D9" s="14">
        <v>2.7798302214640601E-2</v>
      </c>
      <c r="E9" s="14">
        <v>0.58854361524857701</v>
      </c>
      <c r="F9" s="12" t="s">
        <v>19</v>
      </c>
      <c r="G9" s="13">
        <v>274.39886363636401</v>
      </c>
      <c r="H9" s="13">
        <v>6036.7749999999996</v>
      </c>
      <c r="I9" s="13">
        <v>479.74370860927201</v>
      </c>
      <c r="J9" s="13">
        <v>533.58824094691295</v>
      </c>
      <c r="K9" s="14">
        <v>1.1122360363906201</v>
      </c>
      <c r="L9" s="12">
        <v>3</v>
      </c>
      <c r="M9" s="12">
        <v>0.6</v>
      </c>
      <c r="N9" s="13">
        <v>263.81004271436302</v>
      </c>
      <c r="O9" s="13">
        <v>1703.04116854218</v>
      </c>
      <c r="P9" s="13">
        <v>2230.6612539708999</v>
      </c>
      <c r="Q9" s="17" t="s">
        <v>26</v>
      </c>
      <c r="R9" s="17">
        <v>170</v>
      </c>
    </row>
    <row r="10" spans="1:18">
      <c r="A10" s="7" t="s">
        <v>37</v>
      </c>
      <c r="B10" s="8" t="s">
        <v>38</v>
      </c>
      <c r="C10" s="9">
        <v>67190.7</v>
      </c>
      <c r="D10" s="10">
        <v>2.5783460327371999E-2</v>
      </c>
      <c r="E10" s="10">
        <v>0.61432707557594901</v>
      </c>
      <c r="F10" s="8" t="s">
        <v>19</v>
      </c>
      <c r="G10" s="9">
        <v>254.51022727272701</v>
      </c>
      <c r="H10" s="9">
        <v>5599.2250000000004</v>
      </c>
      <c r="I10" s="9">
        <v>453.991216216216</v>
      </c>
      <c r="J10" s="9">
        <v>510.06163212084101</v>
      </c>
      <c r="K10" s="10">
        <v>1.12350550826058</v>
      </c>
      <c r="L10" s="8">
        <v>3</v>
      </c>
      <c r="M10" s="8">
        <v>0.6</v>
      </c>
      <c r="N10" s="9">
        <v>251.64352297984601</v>
      </c>
      <c r="O10" s="9">
        <v>1613.61717162849</v>
      </c>
      <c r="P10" s="9">
        <v>2116.90421758819</v>
      </c>
      <c r="Q10" s="16" t="s">
        <v>26</v>
      </c>
      <c r="R10" s="16">
        <v>145</v>
      </c>
    </row>
    <row r="11" spans="1:18">
      <c r="A11" s="11" t="s">
        <v>39</v>
      </c>
      <c r="B11" s="12" t="s">
        <v>40</v>
      </c>
      <c r="C11" s="13">
        <v>60125.599999999999</v>
      </c>
      <c r="D11" s="14">
        <v>2.30723302817121E-2</v>
      </c>
      <c r="E11" s="14">
        <v>0.63739940585766097</v>
      </c>
      <c r="F11" s="12" t="s">
        <v>19</v>
      </c>
      <c r="G11" s="13">
        <v>227.74848484848499</v>
      </c>
      <c r="H11" s="13">
        <v>5010.4666666666699</v>
      </c>
      <c r="I11" s="13">
        <v>409.01768707483001</v>
      </c>
      <c r="J11" s="13">
        <v>430.714643434126</v>
      </c>
      <c r="K11" s="14">
        <v>1.0530464990755399</v>
      </c>
      <c r="L11" s="12">
        <v>3</v>
      </c>
      <c r="M11" s="12">
        <v>0.6</v>
      </c>
      <c r="N11" s="13">
        <v>215.544758501617</v>
      </c>
      <c r="O11" s="13">
        <v>1442.5978197261099</v>
      </c>
      <c r="P11" s="13">
        <v>1873.6873367293399</v>
      </c>
      <c r="Q11" s="17" t="s">
        <v>20</v>
      </c>
      <c r="R11" s="17">
        <v>142</v>
      </c>
    </row>
    <row r="12" spans="1:18">
      <c r="A12" s="7" t="s">
        <v>41</v>
      </c>
      <c r="B12" s="8" t="s">
        <v>42</v>
      </c>
      <c r="C12" s="9">
        <v>42082.5</v>
      </c>
      <c r="D12" s="10">
        <v>1.61485513505088E-2</v>
      </c>
      <c r="E12" s="10">
        <v>0.65354795720816905</v>
      </c>
      <c r="F12" s="8" t="s">
        <v>19</v>
      </c>
      <c r="G12" s="9">
        <v>159.40340909090901</v>
      </c>
      <c r="H12" s="9">
        <v>3506.875</v>
      </c>
      <c r="I12" s="9">
        <v>326.22093023255798</v>
      </c>
      <c r="J12" s="9">
        <v>397.005672911771</v>
      </c>
      <c r="K12" s="10">
        <v>1.2169840623921699</v>
      </c>
      <c r="L12" s="8">
        <v>3</v>
      </c>
      <c r="M12" s="8">
        <v>0.6</v>
      </c>
      <c r="N12" s="9">
        <v>192.820382822444</v>
      </c>
      <c r="O12" s="9">
        <v>1171.4831735201201</v>
      </c>
      <c r="P12" s="9">
        <v>1557.1239391650099</v>
      </c>
      <c r="Q12" s="16" t="s">
        <v>26</v>
      </c>
      <c r="R12" s="16">
        <v>190</v>
      </c>
    </row>
    <row r="13" spans="1:18">
      <c r="A13" s="11" t="s">
        <v>43</v>
      </c>
      <c r="B13" s="12" t="s">
        <v>44</v>
      </c>
      <c r="C13" s="13">
        <v>39689.51</v>
      </c>
      <c r="D13" s="14">
        <v>1.5230276012868299E-2</v>
      </c>
      <c r="E13" s="14">
        <v>0.66877823322103802</v>
      </c>
      <c r="F13" s="12" t="s">
        <v>19</v>
      </c>
      <c r="G13" s="13">
        <v>150.33905303030301</v>
      </c>
      <c r="H13" s="13">
        <v>3307.4591666666702</v>
      </c>
      <c r="I13" s="13">
        <v>389.11284313725503</v>
      </c>
      <c r="J13" s="13">
        <v>455.65216983354202</v>
      </c>
      <c r="K13" s="14">
        <v>1.1710026483829401</v>
      </c>
      <c r="L13" s="12">
        <v>3</v>
      </c>
      <c r="M13" s="12">
        <v>0.6</v>
      </c>
      <c r="N13" s="13">
        <v>222.92608963937499</v>
      </c>
      <c r="O13" s="13">
        <v>1390.26461905114</v>
      </c>
      <c r="P13" s="13">
        <v>1836.1167983298899</v>
      </c>
      <c r="Q13" s="17" t="s">
        <v>26</v>
      </c>
      <c r="R13" s="17">
        <v>170</v>
      </c>
    </row>
    <row r="14" spans="1:18">
      <c r="A14" s="7" t="s">
        <v>45</v>
      </c>
      <c r="B14" s="8" t="s">
        <v>46</v>
      </c>
      <c r="C14" s="9">
        <v>37983.399999999499</v>
      </c>
      <c r="D14" s="10">
        <v>1.4575580950915599E-2</v>
      </c>
      <c r="E14" s="10">
        <v>0.68335381417195296</v>
      </c>
      <c r="F14" s="8" t="s">
        <v>19</v>
      </c>
      <c r="G14" s="9">
        <v>143.87651515151299</v>
      </c>
      <c r="H14" s="9">
        <v>3165.2833333332901</v>
      </c>
      <c r="I14" s="9">
        <v>163.72155172413801</v>
      </c>
      <c r="J14" s="9">
        <v>208.725550152658</v>
      </c>
      <c r="K14" s="10">
        <v>1.2748813333039299</v>
      </c>
      <c r="L14" s="8">
        <v>3</v>
      </c>
      <c r="M14" s="8">
        <v>0.6</v>
      </c>
      <c r="N14" s="9">
        <v>100.54523139064401</v>
      </c>
      <c r="O14" s="9">
        <v>591.70988656305803</v>
      </c>
      <c r="P14" s="9">
        <v>792.80034934434605</v>
      </c>
      <c r="Q14" s="16" t="s">
        <v>20</v>
      </c>
      <c r="R14" s="16">
        <v>90</v>
      </c>
    </row>
    <row r="15" spans="1:18">
      <c r="A15" s="11" t="s">
        <v>47</v>
      </c>
      <c r="B15" s="12" t="s">
        <v>48</v>
      </c>
      <c r="C15" s="13">
        <v>36022.699999999997</v>
      </c>
      <c r="D15" s="14">
        <v>1.38231906548797E-2</v>
      </c>
      <c r="E15" s="14">
        <v>0.69717700482683298</v>
      </c>
      <c r="F15" s="12" t="s">
        <v>19</v>
      </c>
      <c r="G15" s="13">
        <v>136.449621212121</v>
      </c>
      <c r="H15" s="13">
        <v>3001.8916666666701</v>
      </c>
      <c r="I15" s="13">
        <v>590.53606557376997</v>
      </c>
      <c r="J15" s="13">
        <v>560.16917118336903</v>
      </c>
      <c r="K15" s="14">
        <v>0.94857740930539602</v>
      </c>
      <c r="L15" s="12">
        <v>3</v>
      </c>
      <c r="M15" s="12">
        <v>0.6</v>
      </c>
      <c r="N15" s="13">
        <v>287.758298532982</v>
      </c>
      <c r="O15" s="13">
        <v>2059.3664952542899</v>
      </c>
      <c r="P15" s="13">
        <v>2634.8830923202599</v>
      </c>
      <c r="Q15" s="17" t="s">
        <v>23</v>
      </c>
      <c r="R15" s="17">
        <v>162</v>
      </c>
    </row>
    <row r="16" spans="1:18">
      <c r="A16" s="7" t="s">
        <v>49</v>
      </c>
      <c r="B16" s="8" t="s">
        <v>50</v>
      </c>
      <c r="C16" s="9">
        <v>34355.550000000003</v>
      </c>
      <c r="D16" s="10">
        <v>1.3183445930017801E-2</v>
      </c>
      <c r="E16" s="10">
        <v>0.71036045075685095</v>
      </c>
      <c r="F16" s="8" t="s">
        <v>19</v>
      </c>
      <c r="G16" s="9">
        <v>130.134659090909</v>
      </c>
      <c r="H16" s="9">
        <v>2862.9625000000001</v>
      </c>
      <c r="I16" s="9">
        <v>381.72833333333301</v>
      </c>
      <c r="J16" s="9">
        <v>376.47932155115501</v>
      </c>
      <c r="K16" s="10">
        <v>0.98624935242206702</v>
      </c>
      <c r="L16" s="8">
        <v>3</v>
      </c>
      <c r="M16" s="8">
        <v>0.6</v>
      </c>
      <c r="N16" s="9">
        <v>191.428266280636</v>
      </c>
      <c r="O16" s="9">
        <v>1336.6132662806299</v>
      </c>
      <c r="P16" s="9">
        <v>1719.46979884191</v>
      </c>
      <c r="Q16" s="16" t="s">
        <v>26</v>
      </c>
      <c r="R16" s="16">
        <v>145</v>
      </c>
    </row>
    <row r="17" spans="1:18">
      <c r="A17" s="11" t="s">
        <v>51</v>
      </c>
      <c r="B17" s="12" t="s">
        <v>52</v>
      </c>
      <c r="C17" s="13">
        <v>34149.200000000099</v>
      </c>
      <c r="D17" s="14">
        <v>1.3104262098943701E-2</v>
      </c>
      <c r="E17" s="14">
        <v>0.72346471285579494</v>
      </c>
      <c r="F17" s="12" t="s">
        <v>19</v>
      </c>
      <c r="G17" s="13">
        <v>129.35303030303101</v>
      </c>
      <c r="H17" s="13">
        <v>2845.7666666666801</v>
      </c>
      <c r="I17" s="13">
        <v>166.58146341463399</v>
      </c>
      <c r="J17" s="13">
        <v>208.55121713722099</v>
      </c>
      <c r="K17" s="14">
        <v>1.2519473227229501</v>
      </c>
      <c r="L17" s="12">
        <v>3</v>
      </c>
      <c r="M17" s="12">
        <v>0.6</v>
      </c>
      <c r="N17" s="13">
        <v>100.776820232497</v>
      </c>
      <c r="O17" s="13">
        <v>600.52121047639901</v>
      </c>
      <c r="P17" s="13">
        <v>802.07485094139201</v>
      </c>
      <c r="Q17" s="17" t="s">
        <v>20</v>
      </c>
      <c r="R17" s="17">
        <v>102</v>
      </c>
    </row>
    <row r="18" spans="1:18">
      <c r="A18" s="7" t="s">
        <v>53</v>
      </c>
      <c r="B18" s="8" t="s">
        <v>54</v>
      </c>
      <c r="C18" s="9">
        <v>32879.699999999801</v>
      </c>
      <c r="D18" s="10">
        <v>1.2617109816178199E-2</v>
      </c>
      <c r="E18" s="10">
        <v>0.73608182267197297</v>
      </c>
      <c r="F18" s="8" t="s">
        <v>19</v>
      </c>
      <c r="G18" s="9">
        <v>124.544318181817</v>
      </c>
      <c r="H18" s="9">
        <v>2739.9749999999799</v>
      </c>
      <c r="I18" s="9">
        <v>167.75357142857101</v>
      </c>
      <c r="J18" s="9">
        <v>341.621713021424</v>
      </c>
      <c r="K18" s="10">
        <v>2.0364497167613802</v>
      </c>
      <c r="L18" s="8">
        <v>3</v>
      </c>
      <c r="M18" s="8">
        <v>0.6</v>
      </c>
      <c r="N18" s="9">
        <v>155.81515111837001</v>
      </c>
      <c r="O18" s="9">
        <v>659.07586540408295</v>
      </c>
      <c r="P18" s="9">
        <v>970.70616764082399</v>
      </c>
      <c r="Q18" s="16" t="s">
        <v>20</v>
      </c>
      <c r="R18" s="16">
        <v>102</v>
      </c>
    </row>
    <row r="19" spans="1:18">
      <c r="A19" s="11" t="s">
        <v>55</v>
      </c>
      <c r="B19" s="12" t="s">
        <v>56</v>
      </c>
      <c r="C19" s="13">
        <v>29307.200000000001</v>
      </c>
      <c r="D19" s="14">
        <v>1.12462145580617E-2</v>
      </c>
      <c r="E19" s="14">
        <v>0.74732803723003405</v>
      </c>
      <c r="F19" s="12" t="s">
        <v>19</v>
      </c>
      <c r="G19" s="13">
        <v>111.012121212121</v>
      </c>
      <c r="H19" s="13">
        <v>2442.2666666666701</v>
      </c>
      <c r="I19" s="13">
        <v>681.56279069767402</v>
      </c>
      <c r="J19" s="13">
        <v>579.04209445767503</v>
      </c>
      <c r="K19" s="14">
        <v>0.84957996880220699</v>
      </c>
      <c r="L19" s="12">
        <v>3</v>
      </c>
      <c r="M19" s="12">
        <v>0.6</v>
      </c>
      <c r="N19" s="13">
        <v>307.20852167083598</v>
      </c>
      <c r="O19" s="13">
        <v>2351.8968937638601</v>
      </c>
      <c r="P19" s="13">
        <v>2966.3139371055299</v>
      </c>
      <c r="Q19" s="17" t="s">
        <v>26</v>
      </c>
      <c r="R19" s="17">
        <v>210</v>
      </c>
    </row>
    <row r="20" spans="1:18">
      <c r="A20" s="7" t="s">
        <v>57</v>
      </c>
      <c r="B20" s="8" t="s">
        <v>58</v>
      </c>
      <c r="C20" s="9">
        <v>29205.15</v>
      </c>
      <c r="D20" s="10">
        <v>1.1207054345020199E-2</v>
      </c>
      <c r="E20" s="10">
        <v>0.75853509157505505</v>
      </c>
      <c r="F20" s="8" t="s">
        <v>19</v>
      </c>
      <c r="G20" s="9">
        <v>110.625568181818</v>
      </c>
      <c r="H20" s="9">
        <v>2433.7624999999998</v>
      </c>
      <c r="I20" s="9">
        <v>217.94888059701501</v>
      </c>
      <c r="J20" s="9">
        <v>230.17859937778601</v>
      </c>
      <c r="K20" s="10">
        <v>1.0561127854718599</v>
      </c>
      <c r="L20" s="8">
        <v>3</v>
      </c>
      <c r="M20" s="8">
        <v>0.6</v>
      </c>
      <c r="N20" s="9">
        <v>115.11225840734301</v>
      </c>
      <c r="O20" s="9">
        <v>768.95890019838805</v>
      </c>
      <c r="P20" s="9">
        <v>999.18341701307497</v>
      </c>
      <c r="Q20" s="16" t="s">
        <v>20</v>
      </c>
      <c r="R20" s="16">
        <v>118</v>
      </c>
    </row>
    <row r="21" spans="1:18">
      <c r="A21" s="11" t="s">
        <v>59</v>
      </c>
      <c r="B21" s="12" t="s">
        <v>60</v>
      </c>
      <c r="C21" s="13">
        <v>27326.400000000001</v>
      </c>
      <c r="D21" s="14">
        <v>1.0486111177438201E-2</v>
      </c>
      <c r="E21" s="14">
        <v>0.76902120275249297</v>
      </c>
      <c r="F21" s="12" t="s">
        <v>19</v>
      </c>
      <c r="G21" s="13">
        <v>103.509090909091</v>
      </c>
      <c r="H21" s="13">
        <v>2277.1999999999998</v>
      </c>
      <c r="I21" s="13">
        <v>213.48750000000001</v>
      </c>
      <c r="J21" s="13">
        <v>373.30354666511801</v>
      </c>
      <c r="K21" s="14">
        <v>1.7485967406293901</v>
      </c>
      <c r="L21" s="12">
        <v>3</v>
      </c>
      <c r="M21" s="12">
        <v>0.6</v>
      </c>
      <c r="N21" s="13">
        <v>172.50752448057699</v>
      </c>
      <c r="O21" s="13">
        <v>812.97002448057697</v>
      </c>
      <c r="P21" s="13">
        <v>1157.98507344173</v>
      </c>
      <c r="Q21" s="17" t="s">
        <v>20</v>
      </c>
      <c r="R21" s="17">
        <v>91</v>
      </c>
    </row>
    <row r="22" spans="1:18">
      <c r="A22" s="7" t="s">
        <v>61</v>
      </c>
      <c r="B22" s="8" t="s">
        <v>62</v>
      </c>
      <c r="C22" s="9">
        <v>24071.19</v>
      </c>
      <c r="D22" s="10">
        <v>9.2369713724910294E-3</v>
      </c>
      <c r="E22" s="10">
        <v>0.77825817412498399</v>
      </c>
      <c r="F22" s="8" t="s">
        <v>19</v>
      </c>
      <c r="G22" s="9">
        <v>91.178749999999994</v>
      </c>
      <c r="H22" s="9">
        <v>2005.9324999999999</v>
      </c>
      <c r="I22" s="9">
        <v>312.61285714285702</v>
      </c>
      <c r="J22" s="9">
        <v>381.15351730619898</v>
      </c>
      <c r="K22" s="10">
        <v>1.2192509316148199</v>
      </c>
      <c r="L22" s="8">
        <v>3</v>
      </c>
      <c r="M22" s="8">
        <v>0.6</v>
      </c>
      <c r="N22" s="9">
        <v>185.05801704246099</v>
      </c>
      <c r="O22" s="9">
        <v>1122.8965884710301</v>
      </c>
      <c r="P22" s="9">
        <v>1493.01262255595</v>
      </c>
      <c r="Q22" s="16" t="s">
        <v>26</v>
      </c>
      <c r="R22" s="16">
        <v>289</v>
      </c>
    </row>
    <row r="23" spans="1:18">
      <c r="A23" s="11" t="s">
        <v>63</v>
      </c>
      <c r="B23" s="12" t="s">
        <v>64</v>
      </c>
      <c r="C23" s="13">
        <v>23456.45</v>
      </c>
      <c r="D23" s="14">
        <v>9.0010737794960407E-3</v>
      </c>
      <c r="E23" s="14">
        <v>0.78725924790447999</v>
      </c>
      <c r="F23" s="12" t="s">
        <v>19</v>
      </c>
      <c r="G23" s="13">
        <v>88.850189393939402</v>
      </c>
      <c r="H23" s="13">
        <v>1954.7041666666701</v>
      </c>
      <c r="I23" s="13">
        <v>257.76318681318702</v>
      </c>
      <c r="J23" s="13">
        <v>242.48071387628701</v>
      </c>
      <c r="K23" s="14">
        <v>0.94071118872387305</v>
      </c>
      <c r="L23" s="12">
        <v>3</v>
      </c>
      <c r="M23" s="12">
        <v>0.6</v>
      </c>
      <c r="N23" s="13">
        <v>124.84449393177999</v>
      </c>
      <c r="O23" s="13">
        <v>898.13405437134099</v>
      </c>
      <c r="P23" s="13">
        <v>1147.8230422349</v>
      </c>
      <c r="Q23" s="17" t="s">
        <v>26</v>
      </c>
      <c r="R23" s="17">
        <v>190</v>
      </c>
    </row>
    <row r="24" spans="1:18">
      <c r="A24" s="7" t="s">
        <v>65</v>
      </c>
      <c r="B24" s="8" t="s">
        <v>66</v>
      </c>
      <c r="C24" s="9">
        <v>22972.3</v>
      </c>
      <c r="D24" s="10">
        <v>8.8152882121854195E-3</v>
      </c>
      <c r="E24" s="10">
        <v>0.79607453611666501</v>
      </c>
      <c r="F24" s="8" t="s">
        <v>19</v>
      </c>
      <c r="G24" s="9">
        <v>87.016287878787907</v>
      </c>
      <c r="H24" s="9">
        <v>1914.3583333333299</v>
      </c>
      <c r="I24" s="9">
        <v>364.63968253968198</v>
      </c>
      <c r="J24" s="9">
        <v>534.05648714758001</v>
      </c>
      <c r="K24" s="10">
        <v>1.46461428286665</v>
      </c>
      <c r="L24" s="8">
        <v>3</v>
      </c>
      <c r="M24" s="8">
        <v>0.6</v>
      </c>
      <c r="N24" s="9">
        <v>251.900298594379</v>
      </c>
      <c r="O24" s="9">
        <v>1345.81934621342</v>
      </c>
      <c r="P24" s="9">
        <v>1849.6199434021801</v>
      </c>
      <c r="Q24" s="16" t="s">
        <v>26</v>
      </c>
      <c r="R24" s="16">
        <v>369</v>
      </c>
    </row>
    <row r="25" spans="1:18">
      <c r="A25" s="11" t="s">
        <v>67</v>
      </c>
      <c r="B25" s="12" t="s">
        <v>68</v>
      </c>
      <c r="C25" s="13">
        <v>22347.9</v>
      </c>
      <c r="D25" s="14">
        <v>8.5756837337619095E-3</v>
      </c>
      <c r="E25" s="14">
        <v>0.80465021985042695</v>
      </c>
      <c r="F25" s="12" t="s">
        <v>69</v>
      </c>
      <c r="G25" s="13">
        <v>84.651136363636397</v>
      </c>
      <c r="H25" s="13">
        <v>1862.325</v>
      </c>
      <c r="I25" s="13">
        <v>770.61724137931003</v>
      </c>
      <c r="J25" s="13">
        <v>1493.90060533514</v>
      </c>
      <c r="K25" s="14">
        <v>1.9385766696073901</v>
      </c>
      <c r="L25" s="12">
        <v>3</v>
      </c>
      <c r="M25" s="12">
        <v>0.6</v>
      </c>
      <c r="N25" s="13">
        <v>683.99345069952903</v>
      </c>
      <c r="O25" s="13">
        <v>2995.84517483746</v>
      </c>
      <c r="P25" s="13">
        <v>4363.8320762365202</v>
      </c>
      <c r="Q25" s="17" t="s">
        <v>26</v>
      </c>
      <c r="R25" s="17">
        <v>207</v>
      </c>
    </row>
    <row r="26" spans="1:18">
      <c r="A26" s="7" t="s">
        <v>70</v>
      </c>
      <c r="B26" s="8" t="s">
        <v>71</v>
      </c>
      <c r="C26" s="9">
        <v>20017</v>
      </c>
      <c r="D26" s="10">
        <v>7.68123453652075E-3</v>
      </c>
      <c r="E26" s="10">
        <v>0.81233145438694798</v>
      </c>
      <c r="F26" s="8" t="s">
        <v>69</v>
      </c>
      <c r="G26" s="9">
        <v>75.821969696969703</v>
      </c>
      <c r="H26" s="9">
        <v>1668.0833333333301</v>
      </c>
      <c r="I26" s="9">
        <v>333.61666666666702</v>
      </c>
      <c r="J26" s="9">
        <v>371.48117680107799</v>
      </c>
      <c r="K26" s="10">
        <v>1.11349705790402</v>
      </c>
      <c r="L26" s="8">
        <v>3</v>
      </c>
      <c r="M26" s="8">
        <v>0.6</v>
      </c>
      <c r="N26" s="9">
        <v>183.61896046786899</v>
      </c>
      <c r="O26" s="9">
        <v>1184.4689604678699</v>
      </c>
      <c r="P26" s="9">
        <v>1551.7068814036099</v>
      </c>
      <c r="Q26" s="16" t="s">
        <v>26</v>
      </c>
      <c r="R26" s="16">
        <v>290</v>
      </c>
    </row>
    <row r="27" spans="1:18">
      <c r="A27" s="11" t="s">
        <v>72</v>
      </c>
      <c r="B27" s="12" t="s">
        <v>73</v>
      </c>
      <c r="C27" s="13">
        <v>19098.8</v>
      </c>
      <c r="D27" s="14">
        <v>7.3288885530350401E-3</v>
      </c>
      <c r="E27" s="14">
        <v>0.81966034293998302</v>
      </c>
      <c r="F27" s="12" t="s">
        <v>69</v>
      </c>
      <c r="G27" s="13">
        <v>72.343939393939394</v>
      </c>
      <c r="H27" s="13">
        <v>1591.56666666667</v>
      </c>
      <c r="I27" s="13">
        <v>258.09189189189198</v>
      </c>
      <c r="J27" s="13">
        <v>253.54643505259301</v>
      </c>
      <c r="K27" s="14">
        <v>0.98238822302405704</v>
      </c>
      <c r="L27" s="12">
        <v>3</v>
      </c>
      <c r="M27" s="12">
        <v>0.6</v>
      </c>
      <c r="N27" s="13">
        <v>129.05015241938801</v>
      </c>
      <c r="O27" s="13">
        <v>903.32582809506403</v>
      </c>
      <c r="P27" s="13">
        <v>1161.4261329338401</v>
      </c>
      <c r="Q27" s="17" t="s">
        <v>20</v>
      </c>
      <c r="R27" s="17">
        <v>142</v>
      </c>
    </row>
    <row r="28" spans="1:18">
      <c r="A28" s="7" t="s">
        <v>74</v>
      </c>
      <c r="B28" s="8" t="s">
        <v>75</v>
      </c>
      <c r="C28" s="9">
        <v>18759.2</v>
      </c>
      <c r="D28" s="10">
        <v>7.1985719597092504E-3</v>
      </c>
      <c r="E28" s="10">
        <v>0.82685891489969199</v>
      </c>
      <c r="F28" s="8" t="s">
        <v>69</v>
      </c>
      <c r="G28" s="9">
        <v>71.057575757575805</v>
      </c>
      <c r="H28" s="9">
        <v>1563.2666666666701</v>
      </c>
      <c r="I28" s="9">
        <v>382.84081632653101</v>
      </c>
      <c r="J28" s="9">
        <v>379.99393631037498</v>
      </c>
      <c r="K28" s="10">
        <v>0.99256380225214103</v>
      </c>
      <c r="L28" s="8">
        <v>3</v>
      </c>
      <c r="M28" s="8">
        <v>0.6</v>
      </c>
      <c r="N28" s="9">
        <v>192.902361614569</v>
      </c>
      <c r="O28" s="9">
        <v>1341.4248105941599</v>
      </c>
      <c r="P28" s="9">
        <v>1727.2295338233</v>
      </c>
      <c r="Q28" s="16" t="s">
        <v>26</v>
      </c>
      <c r="R28" s="16">
        <v>170</v>
      </c>
    </row>
    <row r="29" spans="1:18">
      <c r="A29" s="11" t="s">
        <v>76</v>
      </c>
      <c r="B29" s="12" t="s">
        <v>77</v>
      </c>
      <c r="C29" s="13">
        <v>18364.5</v>
      </c>
      <c r="D29" s="14">
        <v>7.0471115374898998E-3</v>
      </c>
      <c r="E29" s="14">
        <v>0.83390602643718204</v>
      </c>
      <c r="F29" s="12" t="s">
        <v>69</v>
      </c>
      <c r="G29" s="13">
        <v>69.5625</v>
      </c>
      <c r="H29" s="13">
        <v>1530.375</v>
      </c>
      <c r="I29" s="13">
        <v>399.22826086956502</v>
      </c>
      <c r="J29" s="13">
        <v>459.03013924918997</v>
      </c>
      <c r="K29" s="14">
        <v>1.14979370009871</v>
      </c>
      <c r="L29" s="12">
        <v>3</v>
      </c>
      <c r="M29" s="12">
        <v>0.6</v>
      </c>
      <c r="N29" s="13">
        <v>225.39481913408801</v>
      </c>
      <c r="O29" s="13">
        <v>1423.0796017427799</v>
      </c>
      <c r="P29" s="13">
        <v>1873.8692400109601</v>
      </c>
      <c r="Q29" s="17" t="s">
        <v>26</v>
      </c>
      <c r="R29" s="17">
        <v>234</v>
      </c>
    </row>
    <row r="30" spans="1:18">
      <c r="A30" s="7" t="s">
        <v>78</v>
      </c>
      <c r="B30" s="8" t="s">
        <v>79</v>
      </c>
      <c r="C30" s="9">
        <v>18057.96</v>
      </c>
      <c r="D30" s="10">
        <v>6.9294812415002403E-3</v>
      </c>
      <c r="E30" s="10">
        <v>0.84083550767868298</v>
      </c>
      <c r="F30" s="8" t="s">
        <v>69</v>
      </c>
      <c r="G30" s="9">
        <v>68.401363636363598</v>
      </c>
      <c r="H30" s="9">
        <v>1504.83</v>
      </c>
      <c r="I30" s="9">
        <v>440.43804878048797</v>
      </c>
      <c r="J30" s="9">
        <v>1074.0041907535101</v>
      </c>
      <c r="K30" s="10">
        <v>2.4384909381178099</v>
      </c>
      <c r="L30" s="8">
        <v>3</v>
      </c>
      <c r="M30" s="8">
        <v>0.6</v>
      </c>
      <c r="N30" s="9">
        <v>484.31330613277697</v>
      </c>
      <c r="O30" s="9">
        <v>1805.62745247424</v>
      </c>
      <c r="P30" s="9">
        <v>2774.2540647398</v>
      </c>
      <c r="Q30" s="16" t="s">
        <v>26</v>
      </c>
      <c r="R30" s="16">
        <v>287</v>
      </c>
    </row>
    <row r="31" spans="1:18">
      <c r="A31" s="11" t="s">
        <v>80</v>
      </c>
      <c r="B31" s="12" t="s">
        <v>81</v>
      </c>
      <c r="C31" s="13">
        <v>15497.6</v>
      </c>
      <c r="D31" s="14">
        <v>5.9469800845873E-3</v>
      </c>
      <c r="E31" s="14">
        <v>0.84678248776327003</v>
      </c>
      <c r="F31" s="12" t="s">
        <v>69</v>
      </c>
      <c r="G31" s="13">
        <v>58.703030303030303</v>
      </c>
      <c r="H31" s="13">
        <v>1291.4666666666701</v>
      </c>
      <c r="I31" s="13">
        <v>377.99024390243898</v>
      </c>
      <c r="J31" s="13">
        <v>379.52547727713699</v>
      </c>
      <c r="K31" s="14">
        <v>1.0040615687824299</v>
      </c>
      <c r="L31" s="12">
        <v>3</v>
      </c>
      <c r="M31" s="12">
        <v>0.6</v>
      </c>
      <c r="N31" s="13">
        <v>192.10918230522199</v>
      </c>
      <c r="O31" s="13">
        <v>1326.07991401254</v>
      </c>
      <c r="P31" s="13">
        <v>1710.29827862298</v>
      </c>
      <c r="Q31" s="17" t="s">
        <v>23</v>
      </c>
      <c r="R31" s="17">
        <v>156</v>
      </c>
    </row>
    <row r="32" spans="1:18">
      <c r="A32" s="7" t="s">
        <v>82</v>
      </c>
      <c r="B32" s="8" t="s">
        <v>83</v>
      </c>
      <c r="C32" s="9">
        <v>14014.79</v>
      </c>
      <c r="D32" s="10">
        <v>5.3779731713086698E-3</v>
      </c>
      <c r="E32" s="10">
        <v>0.85216046093457898</v>
      </c>
      <c r="F32" s="8" t="s">
        <v>69</v>
      </c>
      <c r="G32" s="9">
        <v>53.0863257575758</v>
      </c>
      <c r="H32" s="9">
        <v>1167.89916666667</v>
      </c>
      <c r="I32" s="9">
        <v>237.53881355932199</v>
      </c>
      <c r="J32" s="9">
        <v>229.52969273836499</v>
      </c>
      <c r="K32" s="10">
        <v>0.96628289625199604</v>
      </c>
      <c r="L32" s="8">
        <v>3</v>
      </c>
      <c r="M32" s="8">
        <v>0.6</v>
      </c>
      <c r="N32" s="9">
        <v>117.329069126428</v>
      </c>
      <c r="O32" s="9">
        <v>829.94550980439396</v>
      </c>
      <c r="P32" s="9">
        <v>1064.60364805725</v>
      </c>
      <c r="Q32" s="16" t="s">
        <v>20</v>
      </c>
      <c r="R32" s="16">
        <v>118</v>
      </c>
    </row>
    <row r="33" spans="1:18">
      <c r="A33" s="11" t="s">
        <v>84</v>
      </c>
      <c r="B33" s="12" t="s">
        <v>85</v>
      </c>
      <c r="C33" s="13">
        <v>13847.25</v>
      </c>
      <c r="D33" s="14">
        <v>5.3136821169924003E-3</v>
      </c>
      <c r="E33" s="14">
        <v>0.85747414305157099</v>
      </c>
      <c r="F33" s="12" t="s">
        <v>69</v>
      </c>
      <c r="G33" s="13">
        <v>52.451704545454497</v>
      </c>
      <c r="H33" s="13">
        <v>1153.9375</v>
      </c>
      <c r="I33" s="13">
        <v>384.64583333333297</v>
      </c>
      <c r="J33" s="13">
        <v>724.65224540317104</v>
      </c>
      <c r="K33" s="14">
        <v>1.88394669226844</v>
      </c>
      <c r="L33" s="12">
        <v>3</v>
      </c>
      <c r="M33" s="12">
        <v>0.6</v>
      </c>
      <c r="N33" s="13">
        <v>332.58164942178001</v>
      </c>
      <c r="O33" s="13">
        <v>1486.51914942178</v>
      </c>
      <c r="P33" s="13">
        <v>2151.6824482653401</v>
      </c>
      <c r="Q33" s="17" t="s">
        <v>26</v>
      </c>
      <c r="R33" s="17">
        <v>290</v>
      </c>
    </row>
    <row r="34" spans="1:18">
      <c r="A34" s="7" t="s">
        <v>86</v>
      </c>
      <c r="B34" s="8" t="s">
        <v>87</v>
      </c>
      <c r="C34" s="9">
        <v>13678.5</v>
      </c>
      <c r="D34" s="10">
        <v>5.2489267426586899E-3</v>
      </c>
      <c r="E34" s="10">
        <v>0.86272306979422997</v>
      </c>
      <c r="F34" s="8" t="s">
        <v>69</v>
      </c>
      <c r="G34" s="9">
        <v>51.8125</v>
      </c>
      <c r="H34" s="9">
        <v>1139.875</v>
      </c>
      <c r="I34" s="9">
        <v>427.453125</v>
      </c>
      <c r="J34" s="9">
        <v>491.55243476047599</v>
      </c>
      <c r="K34" s="10">
        <v>1.1499563484545201</v>
      </c>
      <c r="L34" s="8">
        <v>3</v>
      </c>
      <c r="M34" s="8">
        <v>0.6</v>
      </c>
      <c r="N34" s="9">
        <v>241.35717315548601</v>
      </c>
      <c r="O34" s="9">
        <v>1523.71654815549</v>
      </c>
      <c r="P34" s="9">
        <v>2006.4308944664599</v>
      </c>
      <c r="Q34" s="16" t="s">
        <v>26</v>
      </c>
      <c r="R34" s="16">
        <v>170</v>
      </c>
    </row>
    <row r="35" spans="1:18">
      <c r="A35" s="11" t="s">
        <v>88</v>
      </c>
      <c r="B35" s="12" t="s">
        <v>89</v>
      </c>
      <c r="C35" s="13">
        <v>13372.4</v>
      </c>
      <c r="D35" s="14">
        <v>5.1314652903117399E-3</v>
      </c>
      <c r="E35" s="14">
        <v>0.86785453508454102</v>
      </c>
      <c r="F35" s="12" t="s">
        <v>69</v>
      </c>
      <c r="G35" s="13">
        <v>50.653030303030299</v>
      </c>
      <c r="H35" s="13">
        <v>1114.36666666667</v>
      </c>
      <c r="I35" s="13">
        <v>405.22424242424199</v>
      </c>
      <c r="J35" s="13">
        <v>345.91355046302999</v>
      </c>
      <c r="K35" s="14">
        <v>0.85363488717657299</v>
      </c>
      <c r="L35" s="12">
        <v>3</v>
      </c>
      <c r="M35" s="12">
        <v>0.6</v>
      </c>
      <c r="N35" s="13">
        <v>183.24812254564199</v>
      </c>
      <c r="O35" s="13">
        <v>1398.92084981837</v>
      </c>
      <c r="P35" s="13">
        <v>1765.4170949096499</v>
      </c>
      <c r="Q35" s="17" t="s">
        <v>26</v>
      </c>
      <c r="R35" s="17">
        <v>188</v>
      </c>
    </row>
    <row r="36" spans="1:18">
      <c r="A36" s="7" t="s">
        <v>90</v>
      </c>
      <c r="B36" s="8" t="s">
        <v>91</v>
      </c>
      <c r="C36" s="9">
        <v>12803.7</v>
      </c>
      <c r="D36" s="10">
        <v>4.9132348821127403E-3</v>
      </c>
      <c r="E36" s="10">
        <v>0.87276776996665395</v>
      </c>
      <c r="F36" s="8" t="s">
        <v>69</v>
      </c>
      <c r="G36" s="9">
        <v>48.498863636363602</v>
      </c>
      <c r="H36" s="9">
        <v>1066.9749999999999</v>
      </c>
      <c r="I36" s="9">
        <v>103.25564516129</v>
      </c>
      <c r="J36" s="9">
        <v>91.515550504453799</v>
      </c>
      <c r="K36" s="10">
        <v>0.88630069921602805</v>
      </c>
      <c r="L36" s="8">
        <v>3</v>
      </c>
      <c r="M36" s="8">
        <v>0.6</v>
      </c>
      <c r="N36" s="9">
        <v>47.926828141640399</v>
      </c>
      <c r="O36" s="9">
        <v>357.69376362550997</v>
      </c>
      <c r="P36" s="9">
        <v>453.54741990879103</v>
      </c>
      <c r="Q36" s="16" t="s">
        <v>20</v>
      </c>
      <c r="R36" s="16">
        <v>65</v>
      </c>
    </row>
    <row r="37" spans="1:18">
      <c r="A37" s="11" t="s">
        <v>92</v>
      </c>
      <c r="B37" s="12" t="s">
        <v>93</v>
      </c>
      <c r="C37" s="13">
        <v>12334.59</v>
      </c>
      <c r="D37" s="14">
        <v>4.7332206974983002E-3</v>
      </c>
      <c r="E37" s="14">
        <v>0.87750099066415199</v>
      </c>
      <c r="F37" s="12" t="s">
        <v>69</v>
      </c>
      <c r="G37" s="13">
        <v>46.721931818181801</v>
      </c>
      <c r="H37" s="13">
        <v>1027.8824999999999</v>
      </c>
      <c r="I37" s="13">
        <v>587.36142857142897</v>
      </c>
      <c r="J37" s="13">
        <v>541.358143416036</v>
      </c>
      <c r="K37" s="14">
        <v>0.92167806240310801</v>
      </c>
      <c r="L37" s="12">
        <v>3</v>
      </c>
      <c r="M37" s="12">
        <v>0.6</v>
      </c>
      <c r="N37" s="13">
        <v>280.31221160899401</v>
      </c>
      <c r="O37" s="13">
        <v>2042.3964973232801</v>
      </c>
      <c r="P37" s="13">
        <v>2603.0209205412698</v>
      </c>
      <c r="Q37" s="17" t="s">
        <v>26</v>
      </c>
      <c r="R37" s="17">
        <v>367</v>
      </c>
    </row>
    <row r="38" spans="1:18">
      <c r="A38" s="7" t="s">
        <v>94</v>
      </c>
      <c r="B38" s="8" t="s">
        <v>95</v>
      </c>
      <c r="C38" s="9">
        <v>12063.7</v>
      </c>
      <c r="D38" s="10">
        <v>4.62927057392343E-3</v>
      </c>
      <c r="E38" s="10">
        <v>0.88213026123807603</v>
      </c>
      <c r="F38" s="8" t="s">
        <v>69</v>
      </c>
      <c r="G38" s="9">
        <v>45.695833333333297</v>
      </c>
      <c r="H38" s="9">
        <v>1005.30833333333</v>
      </c>
      <c r="I38" s="9">
        <v>207.99482758620701</v>
      </c>
      <c r="J38" s="9">
        <v>301.54924515488102</v>
      </c>
      <c r="K38" s="10">
        <v>1.4497920388423999</v>
      </c>
      <c r="L38" s="8">
        <v>3</v>
      </c>
      <c r="M38" s="8">
        <v>0.6</v>
      </c>
      <c r="N38" s="9">
        <v>142.429229083819</v>
      </c>
      <c r="O38" s="9">
        <v>766.41371184243997</v>
      </c>
      <c r="P38" s="9">
        <v>1051.2721700100799</v>
      </c>
      <c r="Q38" s="16" t="s">
        <v>20</v>
      </c>
      <c r="R38" s="16">
        <v>65</v>
      </c>
    </row>
    <row r="39" spans="1:18">
      <c r="A39" s="11" t="s">
        <v>96</v>
      </c>
      <c r="B39" s="12" t="s">
        <v>97</v>
      </c>
      <c r="C39" s="13">
        <v>11970</v>
      </c>
      <c r="D39" s="14">
        <v>4.5933145527378401E-3</v>
      </c>
      <c r="E39" s="14">
        <v>0.88672357579081396</v>
      </c>
      <c r="F39" s="12" t="s">
        <v>69</v>
      </c>
      <c r="G39" s="13">
        <v>45.340909090909101</v>
      </c>
      <c r="H39" s="13">
        <v>997.5</v>
      </c>
      <c r="I39" s="13">
        <v>427.5</v>
      </c>
      <c r="J39" s="13">
        <v>404.63672779603399</v>
      </c>
      <c r="K39" s="14">
        <v>0.94651866151119002</v>
      </c>
      <c r="L39" s="12">
        <v>3</v>
      </c>
      <c r="M39" s="12">
        <v>0.6</v>
      </c>
      <c r="N39" s="13">
        <v>207.983760058846</v>
      </c>
      <c r="O39" s="13">
        <v>1490.4837600588501</v>
      </c>
      <c r="P39" s="13">
        <v>1906.45128017654</v>
      </c>
      <c r="Q39" s="17" t="s">
        <v>26</v>
      </c>
      <c r="R39" s="17">
        <v>186</v>
      </c>
    </row>
    <row r="40" spans="1:18">
      <c r="A40" s="7" t="s">
        <v>98</v>
      </c>
      <c r="B40" s="8" t="s">
        <v>99</v>
      </c>
      <c r="C40" s="9">
        <v>11592.1</v>
      </c>
      <c r="D40" s="10">
        <v>4.4483008877854897E-3</v>
      </c>
      <c r="E40" s="10">
        <v>0.89563165125937805</v>
      </c>
      <c r="F40" s="8" t="s">
        <v>69</v>
      </c>
      <c r="G40" s="9">
        <v>43.909469696969701</v>
      </c>
      <c r="H40" s="9">
        <v>966.00833333333298</v>
      </c>
      <c r="I40" s="9">
        <v>269.58372093023303</v>
      </c>
      <c r="J40" s="9">
        <v>309.00158570269099</v>
      </c>
      <c r="K40" s="10">
        <v>1.14621752617867</v>
      </c>
      <c r="L40" s="8">
        <v>3</v>
      </c>
      <c r="M40" s="8">
        <v>0.6</v>
      </c>
      <c r="N40" s="9">
        <v>151.822639879159</v>
      </c>
      <c r="O40" s="9">
        <v>960.57380266985797</v>
      </c>
      <c r="P40" s="9">
        <v>1264.2190824281799</v>
      </c>
      <c r="Q40" s="16" t="s">
        <v>26</v>
      </c>
      <c r="R40" s="16">
        <v>144</v>
      </c>
    </row>
    <row r="41" spans="1:18">
      <c r="A41" s="11" t="s">
        <v>100</v>
      </c>
      <c r="B41" s="12" t="s">
        <v>101</v>
      </c>
      <c r="C41" s="13">
        <v>10766.8686</v>
      </c>
      <c r="D41" s="14">
        <v>4.1316302613029297E-3</v>
      </c>
      <c r="E41" s="14">
        <v>0.89976328152068097</v>
      </c>
      <c r="F41" s="12" t="s">
        <v>69</v>
      </c>
      <c r="G41" s="13">
        <v>40.783593181818198</v>
      </c>
      <c r="H41" s="13">
        <v>897.23905000000002</v>
      </c>
      <c r="I41" s="13">
        <v>119.631873333333</v>
      </c>
      <c r="J41" s="13">
        <v>253.97777271926699</v>
      </c>
      <c r="K41" s="14">
        <v>2.1229941957993201</v>
      </c>
      <c r="L41" s="12">
        <v>3</v>
      </c>
      <c r="M41" s="12">
        <v>0.6</v>
      </c>
      <c r="N41" s="13">
        <v>115.495693381084</v>
      </c>
      <c r="O41" s="13">
        <v>474.39131338108302</v>
      </c>
      <c r="P41" s="13">
        <v>705.38270014325201</v>
      </c>
      <c r="Q41" s="17" t="s">
        <v>20</v>
      </c>
      <c r="R41" s="17">
        <v>102</v>
      </c>
    </row>
    <row r="42" spans="1:18">
      <c r="A42" s="7" t="s">
        <v>102</v>
      </c>
      <c r="B42" s="8" t="s">
        <v>103</v>
      </c>
      <c r="C42" s="9">
        <v>10733.8</v>
      </c>
      <c r="D42" s="10">
        <v>4.11894066384106E-3</v>
      </c>
      <c r="E42" s="10">
        <v>0.90388222218452197</v>
      </c>
      <c r="F42" s="8" t="s">
        <v>69</v>
      </c>
      <c r="G42" s="9">
        <v>40.658333333333303</v>
      </c>
      <c r="H42" s="9">
        <v>894.48333333333301</v>
      </c>
      <c r="I42" s="9">
        <v>198.77407407407401</v>
      </c>
      <c r="J42" s="9">
        <v>247.530150582186</v>
      </c>
      <c r="K42" s="10">
        <v>1.24528388189067</v>
      </c>
      <c r="L42" s="8">
        <v>3</v>
      </c>
      <c r="M42" s="8">
        <v>0.6</v>
      </c>
      <c r="N42" s="9">
        <v>119.72484470841999</v>
      </c>
      <c r="O42" s="9">
        <v>716.04706693064202</v>
      </c>
      <c r="P42" s="9">
        <v>955.49675634748303</v>
      </c>
      <c r="Q42" s="16" t="s">
        <v>26</v>
      </c>
      <c r="R42" s="16">
        <v>234</v>
      </c>
    </row>
    <row r="43" spans="1:18">
      <c r="A43" s="11" t="s">
        <v>104</v>
      </c>
      <c r="B43" s="12" t="s">
        <v>105</v>
      </c>
      <c r="C43" s="13">
        <v>10721.75</v>
      </c>
      <c r="D43" s="14">
        <v>4.1143166504441896E-3</v>
      </c>
      <c r="E43" s="14">
        <v>0.907996538834966</v>
      </c>
      <c r="F43" s="12" t="s">
        <v>69</v>
      </c>
      <c r="G43" s="13">
        <v>40.612689393939398</v>
      </c>
      <c r="H43" s="13">
        <v>893.47916666666697</v>
      </c>
      <c r="I43" s="13">
        <v>466.16304347826099</v>
      </c>
      <c r="J43" s="13">
        <v>479.64974015548597</v>
      </c>
      <c r="K43" s="14">
        <v>1.0289312867373499</v>
      </c>
      <c r="L43" s="12">
        <v>3</v>
      </c>
      <c r="M43" s="12">
        <v>0.6</v>
      </c>
      <c r="N43" s="13">
        <v>241.34547720291201</v>
      </c>
      <c r="O43" s="13">
        <v>1639.8346076376899</v>
      </c>
      <c r="P43" s="13">
        <v>2122.52556204352</v>
      </c>
      <c r="Q43" s="17" t="s">
        <v>26</v>
      </c>
      <c r="R43" s="17">
        <v>287</v>
      </c>
    </row>
    <row r="44" spans="1:18">
      <c r="A44" s="7" t="s">
        <v>106</v>
      </c>
      <c r="B44" s="8" t="s">
        <v>107</v>
      </c>
      <c r="C44" s="9">
        <v>10549.2</v>
      </c>
      <c r="D44" s="10">
        <v>4.0481030810143696E-3</v>
      </c>
      <c r="E44" s="10">
        <v>0.91204464191598</v>
      </c>
      <c r="F44" s="8" t="s">
        <v>69</v>
      </c>
      <c r="G44" s="9">
        <v>39.959090909090897</v>
      </c>
      <c r="H44" s="9">
        <v>879.1</v>
      </c>
      <c r="I44" s="9">
        <v>340.296774193548</v>
      </c>
      <c r="J44" s="9">
        <v>355.81903966658001</v>
      </c>
      <c r="K44" s="10">
        <v>1.0456139071838599</v>
      </c>
      <c r="L44" s="8">
        <v>3</v>
      </c>
      <c r="M44" s="8">
        <v>0.6</v>
      </c>
      <c r="N44" s="9">
        <v>178.35770317922601</v>
      </c>
      <c r="O44" s="9">
        <v>1199.24802575987</v>
      </c>
      <c r="P44" s="9">
        <v>1555.96343211832</v>
      </c>
      <c r="Q44" s="16" t="s">
        <v>26</v>
      </c>
      <c r="R44" s="16">
        <v>187</v>
      </c>
    </row>
    <row r="45" spans="1:18">
      <c r="A45" s="11" t="s">
        <v>108</v>
      </c>
      <c r="B45" s="12" t="s">
        <v>109</v>
      </c>
      <c r="C45" s="13">
        <v>10062</v>
      </c>
      <c r="D45" s="14">
        <v>3.8611471202713598E-3</v>
      </c>
      <c r="E45" s="14">
        <v>0.91590578903625197</v>
      </c>
      <c r="F45" s="12" t="s">
        <v>69</v>
      </c>
      <c r="G45" s="13">
        <v>38.113636363636402</v>
      </c>
      <c r="H45" s="13">
        <v>838.5</v>
      </c>
      <c r="I45" s="13">
        <v>201.24</v>
      </c>
      <c r="J45" s="13">
        <v>284.64425057913098</v>
      </c>
      <c r="K45" s="14">
        <v>1.4144516526492299</v>
      </c>
      <c r="L45" s="12">
        <v>3</v>
      </c>
      <c r="M45" s="12">
        <v>0.6</v>
      </c>
      <c r="N45" s="13">
        <v>134.90931535498299</v>
      </c>
      <c r="O45" s="13">
        <v>738.62931535498296</v>
      </c>
      <c r="P45" s="13">
        <v>1008.44794606495</v>
      </c>
      <c r="Q45" s="17" t="s">
        <v>26</v>
      </c>
      <c r="R45" s="17">
        <v>142</v>
      </c>
    </row>
    <row r="46" spans="1:18">
      <c r="A46" s="7" t="s">
        <v>110</v>
      </c>
      <c r="B46" s="8" t="s">
        <v>111</v>
      </c>
      <c r="C46" s="9">
        <v>10018.200000000001</v>
      </c>
      <c r="D46" s="10">
        <v>3.84433950311096E-3</v>
      </c>
      <c r="E46" s="10">
        <v>0.919750128539362</v>
      </c>
      <c r="F46" s="8" t="s">
        <v>69</v>
      </c>
      <c r="G46" s="9">
        <v>37.947727272727299</v>
      </c>
      <c r="H46" s="9">
        <v>834.85</v>
      </c>
      <c r="I46" s="9">
        <v>185.52222222222201</v>
      </c>
      <c r="J46" s="9">
        <v>305.868638197591</v>
      </c>
      <c r="K46" s="10">
        <v>1.6486900304116401</v>
      </c>
      <c r="L46" s="8">
        <v>3</v>
      </c>
      <c r="M46" s="8">
        <v>0.6</v>
      </c>
      <c r="N46" s="9">
        <v>142.20997484003701</v>
      </c>
      <c r="O46" s="9">
        <v>698.77664150670296</v>
      </c>
      <c r="P46" s="9">
        <v>983.19659118677703</v>
      </c>
      <c r="Q46" s="16" t="s">
        <v>26</v>
      </c>
      <c r="R46" s="16">
        <v>133</v>
      </c>
    </row>
    <row r="47" spans="1:18">
      <c r="A47" s="11" t="s">
        <v>112</v>
      </c>
      <c r="B47" s="12" t="s">
        <v>113</v>
      </c>
      <c r="C47" s="13">
        <v>9711</v>
      </c>
      <c r="D47" s="14">
        <v>3.7264559416572401E-3</v>
      </c>
      <c r="E47" s="14">
        <v>0.92347658448101999</v>
      </c>
      <c r="F47" s="12" t="s">
        <v>69</v>
      </c>
      <c r="G47" s="13">
        <v>36.784090909090899</v>
      </c>
      <c r="H47" s="13">
        <v>809.25</v>
      </c>
      <c r="I47" s="13">
        <v>462.42857142857099</v>
      </c>
      <c r="J47" s="13">
        <v>487.94817362385601</v>
      </c>
      <c r="K47" s="14">
        <v>1.0551860412008001</v>
      </c>
      <c r="L47" s="12">
        <v>3</v>
      </c>
      <c r="M47" s="12">
        <v>0.6</v>
      </c>
      <c r="N47" s="13">
        <v>244.07208567633501</v>
      </c>
      <c r="O47" s="13">
        <v>1631.35779996205</v>
      </c>
      <c r="P47" s="13">
        <v>2119.5019713147199</v>
      </c>
      <c r="Q47" s="17" t="s">
        <v>26</v>
      </c>
      <c r="R47" s="17">
        <v>287</v>
      </c>
    </row>
    <row r="48" spans="1:18">
      <c r="A48" s="7" t="s">
        <v>114</v>
      </c>
      <c r="B48" s="8" t="s">
        <v>115</v>
      </c>
      <c r="C48" s="9">
        <v>9620.6500000000106</v>
      </c>
      <c r="D48" s="10">
        <v>3.69178543456954E-3</v>
      </c>
      <c r="E48" s="10">
        <v>0.92716836991558904</v>
      </c>
      <c r="F48" s="8" t="s">
        <v>69</v>
      </c>
      <c r="G48" s="9">
        <v>36.441856060606099</v>
      </c>
      <c r="H48" s="9">
        <v>801.72083333333399</v>
      </c>
      <c r="I48" s="9">
        <v>165.87327586206899</v>
      </c>
      <c r="J48" s="9">
        <v>244.60109329981799</v>
      </c>
      <c r="K48" s="10">
        <v>1.4746262894284099</v>
      </c>
      <c r="L48" s="8">
        <v>3</v>
      </c>
      <c r="M48" s="8">
        <v>0.6</v>
      </c>
      <c r="N48" s="9">
        <v>115.266814733644</v>
      </c>
      <c r="O48" s="9">
        <v>612.88664231985103</v>
      </c>
      <c r="P48" s="9">
        <v>843.42027178713897</v>
      </c>
      <c r="Q48" s="16" t="s">
        <v>26</v>
      </c>
      <c r="R48" s="16">
        <v>170</v>
      </c>
    </row>
    <row r="49" spans="1:18">
      <c r="A49" s="11" t="s">
        <v>116</v>
      </c>
      <c r="B49" s="12" t="s">
        <v>117</v>
      </c>
      <c r="C49" s="13">
        <v>8628.2999999999993</v>
      </c>
      <c r="D49" s="14">
        <v>3.3109854599321599E-3</v>
      </c>
      <c r="E49" s="14">
        <v>0.93047935537552096</v>
      </c>
      <c r="F49" s="12" t="s">
        <v>69</v>
      </c>
      <c r="G49" s="13">
        <v>32.6829545454545</v>
      </c>
      <c r="H49" s="13">
        <v>719.02499999999998</v>
      </c>
      <c r="I49" s="13">
        <v>454.121052631579</v>
      </c>
      <c r="J49" s="13">
        <v>630.09735630381203</v>
      </c>
      <c r="K49" s="14">
        <v>1.38750967974832</v>
      </c>
      <c r="L49" s="12">
        <v>3</v>
      </c>
      <c r="M49" s="12">
        <v>0.6</v>
      </c>
      <c r="N49" s="13">
        <v>299.47449037766899</v>
      </c>
      <c r="O49" s="13">
        <v>1661.83764827241</v>
      </c>
      <c r="P49" s="13">
        <v>2260.7866290277402</v>
      </c>
      <c r="Q49" s="17" t="s">
        <v>26</v>
      </c>
      <c r="R49" s="17">
        <v>234</v>
      </c>
    </row>
    <row r="50" spans="1:18">
      <c r="A50" s="7" t="s">
        <v>118</v>
      </c>
      <c r="B50" s="8" t="s">
        <v>119</v>
      </c>
      <c r="C50" s="9">
        <v>7999.2</v>
      </c>
      <c r="D50" s="10">
        <v>3.0695774244160899E-3</v>
      </c>
      <c r="E50" s="10">
        <v>0.933548932799937</v>
      </c>
      <c r="F50" s="8" t="s">
        <v>69</v>
      </c>
      <c r="G50" s="9">
        <v>30.3</v>
      </c>
      <c r="H50" s="9">
        <v>666.6</v>
      </c>
      <c r="I50" s="9">
        <v>249.97499999999999</v>
      </c>
      <c r="J50" s="9">
        <v>356.35094608292201</v>
      </c>
      <c r="K50" s="10">
        <v>1.42554633896558</v>
      </c>
      <c r="L50" s="8">
        <v>3</v>
      </c>
      <c r="M50" s="8">
        <v>0.6</v>
      </c>
      <c r="N50" s="9">
        <v>168.708150498995</v>
      </c>
      <c r="O50" s="9">
        <v>918.63315049899495</v>
      </c>
      <c r="P50" s="9">
        <v>1256.0494514969901</v>
      </c>
      <c r="Q50" s="16" t="s">
        <v>26</v>
      </c>
      <c r="R50" s="16">
        <v>140</v>
      </c>
    </row>
    <row r="51" spans="1:18">
      <c r="A51" s="11" t="s">
        <v>120</v>
      </c>
      <c r="B51" s="12" t="s">
        <v>121</v>
      </c>
      <c r="C51" s="13">
        <v>7719</v>
      </c>
      <c r="D51" s="14">
        <v>2.96205472285576E-3</v>
      </c>
      <c r="E51" s="14">
        <v>0.93651098752279305</v>
      </c>
      <c r="F51" s="12" t="s">
        <v>69</v>
      </c>
      <c r="G51" s="13">
        <v>29.238636363636399</v>
      </c>
      <c r="H51" s="13">
        <v>643.25</v>
      </c>
      <c r="I51" s="13">
        <v>148.44230769230799</v>
      </c>
      <c r="J51" s="13">
        <v>149.06146428821401</v>
      </c>
      <c r="K51" s="14">
        <v>1.00417102513112</v>
      </c>
      <c r="L51" s="12">
        <v>3</v>
      </c>
      <c r="M51" s="12">
        <v>0.6</v>
      </c>
      <c r="N51" s="13">
        <v>75.450271861811601</v>
      </c>
      <c r="O51" s="13">
        <v>520.77719493873599</v>
      </c>
      <c r="P51" s="13">
        <v>671.67773866235905</v>
      </c>
      <c r="Q51" s="17" t="s">
        <v>26</v>
      </c>
      <c r="R51" s="17">
        <v>208</v>
      </c>
    </row>
    <row r="52" spans="1:18">
      <c r="A52" s="7" t="s">
        <v>122</v>
      </c>
      <c r="B52" s="8" t="s">
        <v>123</v>
      </c>
      <c r="C52" s="9">
        <v>7705.25</v>
      </c>
      <c r="D52" s="10">
        <v>2.9567783590211602E-3</v>
      </c>
      <c r="E52" s="10">
        <v>0.93946776588181402</v>
      </c>
      <c r="F52" s="8" t="s">
        <v>69</v>
      </c>
      <c r="G52" s="9">
        <v>29.186553030302999</v>
      </c>
      <c r="H52" s="9">
        <v>642.10416666666697</v>
      </c>
      <c r="I52" s="9">
        <v>265.69827586206901</v>
      </c>
      <c r="J52" s="9">
        <v>262.95962634253698</v>
      </c>
      <c r="K52" s="10">
        <v>0.98969263345557701</v>
      </c>
      <c r="L52" s="8">
        <v>3</v>
      </c>
      <c r="M52" s="8">
        <v>0.6</v>
      </c>
      <c r="N52" s="9">
        <v>133.58838496759199</v>
      </c>
      <c r="O52" s="9">
        <v>930.68321255379897</v>
      </c>
      <c r="P52" s="9">
        <v>1197.85998248898</v>
      </c>
      <c r="Q52" s="16" t="s">
        <v>20</v>
      </c>
      <c r="R52" s="16">
        <v>142</v>
      </c>
    </row>
    <row r="53" spans="1:18">
      <c r="A53" s="11" t="s">
        <v>124</v>
      </c>
      <c r="B53" s="12" t="s">
        <v>125</v>
      </c>
      <c r="C53" s="13">
        <v>7520.71</v>
      </c>
      <c r="D53" s="14">
        <v>2.8859638003275699E-3</v>
      </c>
      <c r="E53" s="14">
        <v>0.94235372968214204</v>
      </c>
      <c r="F53" s="12" t="s">
        <v>69</v>
      </c>
      <c r="G53" s="13">
        <v>28.487537878787901</v>
      </c>
      <c r="H53" s="13">
        <v>626.72583333333296</v>
      </c>
      <c r="I53" s="13">
        <v>117.51109375</v>
      </c>
      <c r="J53" s="13">
        <v>140.41093862689701</v>
      </c>
      <c r="K53" s="14">
        <v>1.19487389782633</v>
      </c>
      <c r="L53" s="12">
        <v>3</v>
      </c>
      <c r="M53" s="12">
        <v>0.6</v>
      </c>
      <c r="N53" s="13">
        <v>68.429306847485194</v>
      </c>
      <c r="O53" s="13">
        <v>420.96258809748502</v>
      </c>
      <c r="P53" s="13">
        <v>557.82120179245601</v>
      </c>
      <c r="Q53" s="17" t="s">
        <v>26</v>
      </c>
      <c r="R53" s="17">
        <v>240</v>
      </c>
    </row>
    <row r="54" spans="1:18">
      <c r="A54" s="7" t="s">
        <v>126</v>
      </c>
      <c r="B54" s="8" t="s">
        <v>127</v>
      </c>
      <c r="C54" s="9">
        <v>7393.1</v>
      </c>
      <c r="D54" s="10">
        <v>2.8369953065869799E-3</v>
      </c>
      <c r="E54" s="10">
        <v>0.94519072498872903</v>
      </c>
      <c r="F54" s="8" t="s">
        <v>69</v>
      </c>
      <c r="G54" s="9">
        <v>28.004166666666698</v>
      </c>
      <c r="H54" s="9">
        <v>616.09166666666704</v>
      </c>
      <c r="I54" s="9">
        <v>410.72777777777799</v>
      </c>
      <c r="J54" s="9">
        <v>379.28305867092399</v>
      </c>
      <c r="K54" s="10">
        <v>0.92344145974985103</v>
      </c>
      <c r="L54" s="8">
        <v>3</v>
      </c>
      <c r="M54" s="8">
        <v>0.6</v>
      </c>
      <c r="N54" s="9">
        <v>196.28502720049701</v>
      </c>
      <c r="O54" s="9">
        <v>1428.46836053383</v>
      </c>
      <c r="P54" s="9">
        <v>1821.0384149348299</v>
      </c>
      <c r="Q54" s="16" t="s">
        <v>26</v>
      </c>
      <c r="R54" s="16">
        <v>233</v>
      </c>
    </row>
    <row r="55" spans="1:18">
      <c r="A55" s="11" t="s">
        <v>128</v>
      </c>
      <c r="B55" s="12" t="s">
        <v>129</v>
      </c>
      <c r="C55" s="13">
        <v>7257.5</v>
      </c>
      <c r="D55" s="14">
        <v>2.7849607657890502E-3</v>
      </c>
      <c r="E55" s="14">
        <v>0.94797568575451796</v>
      </c>
      <c r="F55" s="12" t="s">
        <v>69</v>
      </c>
      <c r="G55" s="13">
        <v>27.490530303030301</v>
      </c>
      <c r="H55" s="13">
        <v>604.79166666666697</v>
      </c>
      <c r="I55" s="13">
        <v>381.97368421052602</v>
      </c>
      <c r="J55" s="13">
        <v>331.12747099385098</v>
      </c>
      <c r="K55" s="14">
        <v>0.86688555961187297</v>
      </c>
      <c r="L55" s="12">
        <v>3</v>
      </c>
      <c r="M55" s="12">
        <v>0.6</v>
      </c>
      <c r="N55" s="13">
        <v>174.57804966675701</v>
      </c>
      <c r="O55" s="13">
        <v>1320.4991022983299</v>
      </c>
      <c r="P55" s="13">
        <v>1669.6552016318501</v>
      </c>
      <c r="Q55" s="17" t="s">
        <v>23</v>
      </c>
      <c r="R55" s="17">
        <v>159</v>
      </c>
    </row>
    <row r="56" spans="1:18">
      <c r="A56" s="7" t="s">
        <v>130</v>
      </c>
      <c r="B56" s="8" t="s">
        <v>131</v>
      </c>
      <c r="C56" s="9">
        <v>7175</v>
      </c>
      <c r="D56" s="10">
        <v>2.7533025827814498E-3</v>
      </c>
      <c r="E56" s="10">
        <v>0.95072898833729902</v>
      </c>
      <c r="F56" s="8" t="s">
        <v>132</v>
      </c>
      <c r="G56" s="9">
        <v>27.178030303030301</v>
      </c>
      <c r="H56" s="9">
        <v>597.91666666666697</v>
      </c>
      <c r="I56" s="9">
        <v>358.75</v>
      </c>
      <c r="J56" s="9">
        <v>413.01483024220801</v>
      </c>
      <c r="K56" s="10">
        <v>1.15126085084936</v>
      </c>
      <c r="L56" s="8">
        <v>3</v>
      </c>
      <c r="M56" s="8">
        <v>0.6</v>
      </c>
      <c r="N56" s="9">
        <v>202.74818189230601</v>
      </c>
      <c r="O56" s="9">
        <v>1278.99818189231</v>
      </c>
      <c r="P56" s="9">
        <v>1684.4945456769201</v>
      </c>
      <c r="Q56" s="16" t="s">
        <v>26</v>
      </c>
      <c r="R56" s="16">
        <v>369</v>
      </c>
    </row>
    <row r="57" spans="1:18">
      <c r="A57" s="11" t="s">
        <v>133</v>
      </c>
      <c r="B57" s="12" t="s">
        <v>134</v>
      </c>
      <c r="C57" s="13">
        <v>6885</v>
      </c>
      <c r="D57" s="14">
        <v>2.6420192728153799E-3</v>
      </c>
      <c r="E57" s="14">
        <v>0.95337100761011495</v>
      </c>
      <c r="F57" s="12" t="s">
        <v>132</v>
      </c>
      <c r="G57" s="13">
        <v>26.079545454545499</v>
      </c>
      <c r="H57" s="13">
        <v>573.75</v>
      </c>
      <c r="I57" s="13">
        <v>186.08108108108101</v>
      </c>
      <c r="J57" s="13">
        <v>282.28552609590702</v>
      </c>
      <c r="K57" s="14">
        <v>1.5170028272401701</v>
      </c>
      <c r="L57" s="12">
        <v>3</v>
      </c>
      <c r="M57" s="12">
        <v>0.6</v>
      </c>
      <c r="N57" s="13">
        <v>132.53747183585699</v>
      </c>
      <c r="O57" s="13">
        <v>690.78071507909999</v>
      </c>
      <c r="P57" s="13">
        <v>955.855658750815</v>
      </c>
      <c r="Q57" s="17" t="s">
        <v>26</v>
      </c>
      <c r="R57" s="17">
        <v>180</v>
      </c>
    </row>
    <row r="58" spans="1:18">
      <c r="A58" s="7" t="s">
        <v>135</v>
      </c>
      <c r="B58" s="8" t="s">
        <v>136</v>
      </c>
      <c r="C58" s="9">
        <v>6859.5</v>
      </c>
      <c r="D58" s="10">
        <v>2.6322340162493901E-3</v>
      </c>
      <c r="E58" s="10">
        <v>0.95600324162636396</v>
      </c>
      <c r="F58" s="8" t="s">
        <v>132</v>
      </c>
      <c r="G58" s="9">
        <v>25.982954545454501</v>
      </c>
      <c r="H58" s="9">
        <v>571.625</v>
      </c>
      <c r="I58" s="9">
        <v>57.162500000000001</v>
      </c>
      <c r="J58" s="9">
        <v>77.903494557598094</v>
      </c>
      <c r="K58" s="10">
        <v>1.36284267758755</v>
      </c>
      <c r="L58" s="8">
        <v>3</v>
      </c>
      <c r="M58" s="8">
        <v>0.6</v>
      </c>
      <c r="N58" s="9">
        <v>37.125867606085102</v>
      </c>
      <c r="O58" s="9">
        <v>208.61336760608501</v>
      </c>
      <c r="P58" s="9">
        <v>282.86510281825502</v>
      </c>
      <c r="Q58" s="16" t="s">
        <v>20</v>
      </c>
      <c r="R58" s="16">
        <v>91</v>
      </c>
    </row>
    <row r="59" spans="1:18">
      <c r="A59" s="11" t="s">
        <v>137</v>
      </c>
      <c r="B59" s="12" t="s">
        <v>138</v>
      </c>
      <c r="C59" s="13">
        <v>6429.6000000000104</v>
      </c>
      <c r="D59" s="14">
        <v>2.4672661026134699E-3</v>
      </c>
      <c r="E59" s="14">
        <v>0.95847050772897802</v>
      </c>
      <c r="F59" s="12" t="s">
        <v>132</v>
      </c>
      <c r="G59" s="13">
        <v>24.354545454545502</v>
      </c>
      <c r="H59" s="13">
        <v>535.80000000000098</v>
      </c>
      <c r="I59" s="13">
        <v>149.52558139534901</v>
      </c>
      <c r="J59" s="13">
        <v>195.836340920803</v>
      </c>
      <c r="K59" s="14">
        <v>1.3097179699506301</v>
      </c>
      <c r="L59" s="12">
        <v>3</v>
      </c>
      <c r="M59" s="12">
        <v>0.6</v>
      </c>
      <c r="N59" s="13">
        <v>93.914071691543597</v>
      </c>
      <c r="O59" s="13">
        <v>542.49081587759099</v>
      </c>
      <c r="P59" s="13">
        <v>730.31895926067796</v>
      </c>
      <c r="Q59" s="17" t="s">
        <v>26</v>
      </c>
      <c r="R59" s="17">
        <v>240</v>
      </c>
    </row>
    <row r="60" spans="1:18">
      <c r="A60" s="7" t="s">
        <v>139</v>
      </c>
      <c r="B60" s="8" t="s">
        <v>140</v>
      </c>
      <c r="C60" s="9">
        <v>5647.4</v>
      </c>
      <c r="D60" s="10">
        <v>2.1671081541463398E-3</v>
      </c>
      <c r="E60" s="10">
        <v>0.96063761588312402</v>
      </c>
      <c r="F60" s="8" t="s">
        <v>132</v>
      </c>
      <c r="G60" s="9">
        <v>21.391666666666701</v>
      </c>
      <c r="H60" s="9">
        <v>470.61666666666702</v>
      </c>
      <c r="I60" s="9">
        <v>256.7</v>
      </c>
      <c r="J60" s="9">
        <v>275.805146883845</v>
      </c>
      <c r="K60" s="10">
        <v>1.0744259714991999</v>
      </c>
      <c r="L60" s="8">
        <v>3</v>
      </c>
      <c r="M60" s="8">
        <v>0.6</v>
      </c>
      <c r="N60" s="9">
        <v>137.39271212563401</v>
      </c>
      <c r="O60" s="9">
        <v>907.49271212563394</v>
      </c>
      <c r="P60" s="9">
        <v>1182.2781363769</v>
      </c>
      <c r="Q60" s="16" t="s">
        <v>26</v>
      </c>
      <c r="R60" s="16">
        <v>207</v>
      </c>
    </row>
    <row r="61" spans="1:18">
      <c r="A61" s="11" t="s">
        <v>141</v>
      </c>
      <c r="B61" s="12" t="s">
        <v>142</v>
      </c>
      <c r="C61" s="13">
        <v>5174.3999999999996</v>
      </c>
      <c r="D61" s="14">
        <v>1.98560123823615E-3</v>
      </c>
      <c r="E61" s="14">
        <v>0.96262321712136001</v>
      </c>
      <c r="F61" s="12" t="s">
        <v>132</v>
      </c>
      <c r="G61" s="13">
        <v>19.600000000000001</v>
      </c>
      <c r="H61" s="13">
        <v>431.2</v>
      </c>
      <c r="I61" s="13">
        <v>304.37647058823501</v>
      </c>
      <c r="J61" s="13">
        <v>342.339027006511</v>
      </c>
      <c r="K61" s="14">
        <v>1.1247223753692599</v>
      </c>
      <c r="L61" s="12">
        <v>3</v>
      </c>
      <c r="M61" s="12">
        <v>0.6</v>
      </c>
      <c r="N61" s="13">
        <v>168.85789952878699</v>
      </c>
      <c r="O61" s="13">
        <v>1081.9873112934899</v>
      </c>
      <c r="P61" s="13">
        <v>1419.7031103510701</v>
      </c>
      <c r="Q61" s="17" t="s">
        <v>26</v>
      </c>
      <c r="R61" s="17">
        <v>236</v>
      </c>
    </row>
    <row r="62" spans="1:18">
      <c r="A62" s="7" t="s">
        <v>143</v>
      </c>
      <c r="B62" s="8" t="s">
        <v>144</v>
      </c>
      <c r="C62" s="9">
        <v>5106.2</v>
      </c>
      <c r="D62" s="10">
        <v>1.9594304736165399E-3</v>
      </c>
      <c r="E62" s="10">
        <v>0.96458264759497703</v>
      </c>
      <c r="F62" s="8" t="s">
        <v>132</v>
      </c>
      <c r="G62" s="9">
        <v>19.341666666666701</v>
      </c>
      <c r="H62" s="9">
        <v>425.51666666666699</v>
      </c>
      <c r="I62" s="9">
        <v>464.2</v>
      </c>
      <c r="J62" s="9">
        <v>496.81427515722601</v>
      </c>
      <c r="K62" s="10">
        <v>1.07025910201901</v>
      </c>
      <c r="L62" s="8">
        <v>3</v>
      </c>
      <c r="M62" s="8">
        <v>0.6</v>
      </c>
      <c r="N62" s="9">
        <v>247.70492829114599</v>
      </c>
      <c r="O62" s="9">
        <v>1640.30492829115</v>
      </c>
      <c r="P62" s="9">
        <v>2135.7147848734398</v>
      </c>
      <c r="Q62" s="16" t="s">
        <v>26</v>
      </c>
      <c r="R62" s="16">
        <v>167</v>
      </c>
    </row>
    <row r="63" spans="1:18">
      <c r="A63" s="11" t="s">
        <v>145</v>
      </c>
      <c r="B63" s="12" t="s">
        <v>146</v>
      </c>
      <c r="C63" s="13">
        <v>4872</v>
      </c>
      <c r="D63" s="14">
        <v>1.8695596074301401E-3</v>
      </c>
      <c r="E63" s="14">
        <v>0.96645220720240699</v>
      </c>
      <c r="F63" s="12" t="s">
        <v>132</v>
      </c>
      <c r="G63" s="13">
        <v>18.454545454545499</v>
      </c>
      <c r="H63" s="13">
        <v>406</v>
      </c>
      <c r="I63" s="13">
        <v>442.90909090909099</v>
      </c>
      <c r="J63" s="13">
        <v>443.24883181920598</v>
      </c>
      <c r="K63" s="14">
        <v>1.0007670669152799</v>
      </c>
      <c r="L63" s="12">
        <v>3</v>
      </c>
      <c r="M63" s="12">
        <v>0.6</v>
      </c>
      <c r="N63" s="13">
        <v>224.54859120399399</v>
      </c>
      <c r="O63" s="13">
        <v>1553.2758639312699</v>
      </c>
      <c r="P63" s="13">
        <v>2002.3730463392601</v>
      </c>
      <c r="Q63" s="17" t="s">
        <v>26</v>
      </c>
      <c r="R63" s="17">
        <v>168</v>
      </c>
    </row>
    <row r="64" spans="1:18">
      <c r="A64" s="7" t="s">
        <v>147</v>
      </c>
      <c r="B64" s="8" t="s">
        <v>148</v>
      </c>
      <c r="C64" s="9">
        <v>4796.5</v>
      </c>
      <c r="D64" s="10">
        <v>1.8405875732838001E-3</v>
      </c>
      <c r="E64" s="10">
        <v>0.96829279477569097</v>
      </c>
      <c r="F64" s="8" t="s">
        <v>132</v>
      </c>
      <c r="G64" s="9">
        <v>18.168560606060598</v>
      </c>
      <c r="H64" s="9">
        <v>399.70833333333297</v>
      </c>
      <c r="I64" s="9">
        <v>479.65</v>
      </c>
      <c r="J64" s="9">
        <v>445.75269488809602</v>
      </c>
      <c r="K64" s="10">
        <v>0.92932908347356602</v>
      </c>
      <c r="L64" s="8">
        <v>3</v>
      </c>
      <c r="M64" s="8">
        <v>0.6</v>
      </c>
      <c r="N64" s="9">
        <v>230.274332664328</v>
      </c>
      <c r="O64" s="9">
        <v>1669.2243326643299</v>
      </c>
      <c r="P64" s="9">
        <v>2129.77299799298</v>
      </c>
      <c r="Q64" s="16" t="s">
        <v>26</v>
      </c>
      <c r="R64" s="16">
        <v>168</v>
      </c>
    </row>
    <row r="65" spans="1:18">
      <c r="A65" s="11" t="s">
        <v>149</v>
      </c>
      <c r="B65" s="12" t="s">
        <v>150</v>
      </c>
      <c r="C65" s="13">
        <v>4778.55</v>
      </c>
      <c r="D65" s="14">
        <v>1.83369952013245E-3</v>
      </c>
      <c r="E65" s="14">
        <v>0.97012649429582298</v>
      </c>
      <c r="F65" s="12" t="s">
        <v>132</v>
      </c>
      <c r="G65" s="13">
        <v>18.1005681818182</v>
      </c>
      <c r="H65" s="13">
        <v>398.21249999999998</v>
      </c>
      <c r="I65" s="13">
        <v>238.92750000000001</v>
      </c>
      <c r="J65" s="13">
        <v>200.72869912226301</v>
      </c>
      <c r="K65" s="14">
        <v>0.84012388327949905</v>
      </c>
      <c r="L65" s="12">
        <v>3</v>
      </c>
      <c r="M65" s="12">
        <v>0.6</v>
      </c>
      <c r="N65" s="13">
        <v>106.875964754336</v>
      </c>
      <c r="O65" s="13">
        <v>823.65846475433602</v>
      </c>
      <c r="P65" s="13">
        <v>1037.4103942630099</v>
      </c>
      <c r="Q65" s="17" t="s">
        <v>26</v>
      </c>
      <c r="R65" s="17">
        <v>211</v>
      </c>
    </row>
    <row r="66" spans="1:18">
      <c r="A66" s="7" t="s">
        <v>151</v>
      </c>
      <c r="B66" s="8" t="s">
        <v>152</v>
      </c>
      <c r="C66" s="9">
        <v>4615.5</v>
      </c>
      <c r="D66" s="10">
        <v>1.7711314384429E-3</v>
      </c>
      <c r="E66" s="10">
        <v>0.97189762573426597</v>
      </c>
      <c r="F66" s="8" t="s">
        <v>132</v>
      </c>
      <c r="G66" s="9">
        <v>17.482954545454501</v>
      </c>
      <c r="H66" s="9">
        <v>384.625</v>
      </c>
      <c r="I66" s="9">
        <v>307.7</v>
      </c>
      <c r="J66" s="9">
        <v>414.82637503969198</v>
      </c>
      <c r="K66" s="10">
        <v>1.3481520150786199</v>
      </c>
      <c r="L66" s="8">
        <v>3</v>
      </c>
      <c r="M66" s="8">
        <v>0.6</v>
      </c>
      <c r="N66" s="9">
        <v>198.019903482383</v>
      </c>
      <c r="O66" s="9">
        <v>1121.1199034823801</v>
      </c>
      <c r="P66" s="9">
        <v>1517.15971044715</v>
      </c>
      <c r="Q66" s="16" t="s">
        <v>26</v>
      </c>
      <c r="R66" s="16">
        <v>238</v>
      </c>
    </row>
    <row r="67" spans="1:18">
      <c r="A67" s="11" t="s">
        <v>153</v>
      </c>
      <c r="B67" s="12" t="s">
        <v>154</v>
      </c>
      <c r="C67" s="13">
        <v>4522.3</v>
      </c>
      <c r="D67" s="14">
        <v>1.73536728503311E-3</v>
      </c>
      <c r="E67" s="14">
        <v>0.97363299301929895</v>
      </c>
      <c r="F67" s="12" t="s">
        <v>132</v>
      </c>
      <c r="G67" s="13">
        <v>17.129924242424199</v>
      </c>
      <c r="H67" s="13">
        <v>376.85833333333301</v>
      </c>
      <c r="I67" s="13">
        <v>180.892</v>
      </c>
      <c r="J67" s="13">
        <v>199.914154326301</v>
      </c>
      <c r="K67" s="14">
        <v>1.1051575212076901</v>
      </c>
      <c r="L67" s="12">
        <v>3</v>
      </c>
      <c r="M67" s="12">
        <v>0.6</v>
      </c>
      <c r="N67" s="13">
        <v>98.973774950903803</v>
      </c>
      <c r="O67" s="13">
        <v>641.64977495090397</v>
      </c>
      <c r="P67" s="13">
        <v>839.59732485271104</v>
      </c>
      <c r="Q67" s="17" t="s">
        <v>26</v>
      </c>
      <c r="R67" s="17">
        <v>215</v>
      </c>
    </row>
    <row r="68" spans="1:18">
      <c r="A68" s="7" t="s">
        <v>155</v>
      </c>
      <c r="B68" s="8" t="s">
        <v>156</v>
      </c>
      <c r="C68" s="9">
        <v>4224.3999999999996</v>
      </c>
      <c r="D68" s="10">
        <v>1.62105246420933E-3</v>
      </c>
      <c r="E68" s="10">
        <v>0.97688377037118401</v>
      </c>
      <c r="F68" s="8" t="s">
        <v>132</v>
      </c>
      <c r="G68" s="9">
        <v>16.0015151515152</v>
      </c>
      <c r="H68" s="9">
        <v>352.03333333333302</v>
      </c>
      <c r="I68" s="9">
        <v>469.37777777777802</v>
      </c>
      <c r="J68" s="9">
        <v>423.23105326103399</v>
      </c>
      <c r="K68" s="10">
        <v>0.90168532320549899</v>
      </c>
      <c r="L68" s="8">
        <v>3</v>
      </c>
      <c r="M68" s="8">
        <v>0.6</v>
      </c>
      <c r="N68" s="9">
        <v>220.526840033268</v>
      </c>
      <c r="O68" s="9">
        <v>1628.6601733666</v>
      </c>
      <c r="P68" s="9">
        <v>2069.7138534331398</v>
      </c>
      <c r="Q68" s="16" t="s">
        <v>26</v>
      </c>
      <c r="R68" s="16">
        <v>210</v>
      </c>
    </row>
    <row r="69" spans="1:18">
      <c r="A69" s="11" t="s">
        <v>157</v>
      </c>
      <c r="B69" s="12" t="s">
        <v>158</v>
      </c>
      <c r="C69" s="13">
        <v>3982.5</v>
      </c>
      <c r="D69" s="14">
        <v>1.52822683427556E-3</v>
      </c>
      <c r="E69" s="14">
        <v>0.97841199720545902</v>
      </c>
      <c r="F69" s="12" t="s">
        <v>132</v>
      </c>
      <c r="G69" s="13">
        <v>15.0852272727273</v>
      </c>
      <c r="H69" s="13">
        <v>331.875</v>
      </c>
      <c r="I69" s="13">
        <v>442.5</v>
      </c>
      <c r="J69" s="13">
        <v>549.91196795487201</v>
      </c>
      <c r="K69" s="14">
        <v>1.24273891063248</v>
      </c>
      <c r="L69" s="12">
        <v>3</v>
      </c>
      <c r="M69" s="12">
        <v>0.6</v>
      </c>
      <c r="N69" s="13">
        <v>266.07667397040399</v>
      </c>
      <c r="O69" s="13">
        <v>1593.5766739704</v>
      </c>
      <c r="P69" s="13">
        <v>2125.7300219112099</v>
      </c>
      <c r="Q69" s="17" t="s">
        <v>26</v>
      </c>
      <c r="R69" s="17">
        <v>367</v>
      </c>
    </row>
    <row r="70" spans="1:18">
      <c r="A70" s="7" t="s">
        <v>159</v>
      </c>
      <c r="B70" s="8" t="s">
        <v>160</v>
      </c>
      <c r="C70" s="9">
        <v>3932.5</v>
      </c>
      <c r="D70" s="10">
        <v>1.5090400566952001E-3</v>
      </c>
      <c r="E70" s="10">
        <v>0.97992103726215496</v>
      </c>
      <c r="F70" s="8" t="s">
        <v>132</v>
      </c>
      <c r="G70" s="9">
        <v>14.8958333333333</v>
      </c>
      <c r="H70" s="9">
        <v>327.70833333333297</v>
      </c>
      <c r="I70" s="9">
        <v>109.236111111111</v>
      </c>
      <c r="J70" s="9">
        <v>128.39645556473599</v>
      </c>
      <c r="K70" s="10">
        <v>1.1754030261488899</v>
      </c>
      <c r="L70" s="8">
        <v>3</v>
      </c>
      <c r="M70" s="8">
        <v>0.6</v>
      </c>
      <c r="N70" s="9">
        <v>62.771558404236799</v>
      </c>
      <c r="O70" s="9">
        <v>390.47989173756997</v>
      </c>
      <c r="P70" s="9">
        <v>516.02300854604403</v>
      </c>
      <c r="Q70" s="16" t="s">
        <v>161</v>
      </c>
      <c r="R70" s="16">
        <v>290</v>
      </c>
    </row>
    <row r="71" spans="1:18">
      <c r="A71" s="11" t="s">
        <v>162</v>
      </c>
      <c r="B71" s="12" t="s">
        <v>163</v>
      </c>
      <c r="C71" s="13">
        <v>3860.8</v>
      </c>
      <c r="D71" s="14">
        <v>1.4815262176449699E-3</v>
      </c>
      <c r="E71" s="14">
        <v>0.98140256347980004</v>
      </c>
      <c r="F71" s="12" t="s">
        <v>132</v>
      </c>
      <c r="G71" s="13">
        <v>14.6242424242424</v>
      </c>
      <c r="H71" s="13">
        <v>321.73333333333301</v>
      </c>
      <c r="I71" s="13">
        <v>321.73333333333301</v>
      </c>
      <c r="J71" s="13">
        <v>289.11497974880399</v>
      </c>
      <c r="K71" s="14">
        <v>0.89861680402653599</v>
      </c>
      <c r="L71" s="12">
        <v>3</v>
      </c>
      <c r="M71" s="12">
        <v>0.6</v>
      </c>
      <c r="N71" s="13">
        <v>150.794688443213</v>
      </c>
      <c r="O71" s="13">
        <v>1115.99468844321</v>
      </c>
      <c r="P71" s="13">
        <v>1417.58406532964</v>
      </c>
      <c r="Q71" s="17" t="s">
        <v>26</v>
      </c>
      <c r="R71" s="17">
        <v>214</v>
      </c>
    </row>
    <row r="72" spans="1:18">
      <c r="A72" s="7" t="s">
        <v>164</v>
      </c>
      <c r="B72" s="8" t="s">
        <v>165</v>
      </c>
      <c r="C72" s="9">
        <v>3546.4</v>
      </c>
      <c r="D72" s="10">
        <v>1.3608797602196699E-3</v>
      </c>
      <c r="E72" s="10">
        <v>0.98276344324001896</v>
      </c>
      <c r="F72" s="8" t="s">
        <v>132</v>
      </c>
      <c r="G72" s="9">
        <v>13.4333333333333</v>
      </c>
      <c r="H72" s="9">
        <v>295.53333333333302</v>
      </c>
      <c r="I72" s="9">
        <v>253.314285714286</v>
      </c>
      <c r="J72" s="9">
        <v>252.62894303136099</v>
      </c>
      <c r="K72" s="10">
        <v>0.99729449651451096</v>
      </c>
      <c r="L72" s="8">
        <v>3</v>
      </c>
      <c r="M72" s="8">
        <v>0.6</v>
      </c>
      <c r="N72" s="9">
        <v>128.09252482039801</v>
      </c>
      <c r="O72" s="9">
        <v>888.03538196325599</v>
      </c>
      <c r="P72" s="9">
        <v>1144.22043160405</v>
      </c>
      <c r="Q72" s="16" t="s">
        <v>26</v>
      </c>
      <c r="R72" s="16" t="s">
        <v>196</v>
      </c>
    </row>
    <row r="73" spans="1:18">
      <c r="A73" s="11" t="s">
        <v>166</v>
      </c>
      <c r="B73" s="12" t="s">
        <v>167</v>
      </c>
      <c r="C73" s="13">
        <v>3278.1</v>
      </c>
      <c r="D73" s="14">
        <v>1.25792351172347E-3</v>
      </c>
      <c r="E73" s="14">
        <v>0.98402136675174301</v>
      </c>
      <c r="F73" s="12" t="s">
        <v>132</v>
      </c>
      <c r="G73" s="13">
        <v>12.4170454545455</v>
      </c>
      <c r="H73" s="13">
        <v>273.17500000000001</v>
      </c>
      <c r="I73" s="13">
        <v>172.53157894736799</v>
      </c>
      <c r="J73" s="13">
        <v>155.536923278442</v>
      </c>
      <c r="K73" s="14">
        <v>0.901498289341509</v>
      </c>
      <c r="L73" s="12">
        <v>3</v>
      </c>
      <c r="M73" s="12">
        <v>0.6</v>
      </c>
      <c r="N73" s="13">
        <v>81.048248458724998</v>
      </c>
      <c r="O73" s="13">
        <v>598.64298530082897</v>
      </c>
      <c r="P73" s="13">
        <v>760.73948221827902</v>
      </c>
      <c r="Q73" s="17" t="s">
        <v>26</v>
      </c>
      <c r="R73" s="17">
        <v>190</v>
      </c>
    </row>
    <row r="74" spans="1:18">
      <c r="A74" s="7" t="s">
        <v>168</v>
      </c>
      <c r="B74" s="8" t="s">
        <v>169</v>
      </c>
      <c r="C74" s="9">
        <v>3118.8</v>
      </c>
      <c r="D74" s="10">
        <v>1.19679443835245E-3</v>
      </c>
      <c r="E74" s="10">
        <v>0.98521816119009498</v>
      </c>
      <c r="F74" s="8" t="s">
        <v>132</v>
      </c>
      <c r="G74" s="9">
        <v>11.8136363636364</v>
      </c>
      <c r="H74" s="9">
        <v>259.89999999999998</v>
      </c>
      <c r="I74" s="9">
        <v>259.89999999999998</v>
      </c>
      <c r="J74" s="9">
        <v>315.48145889907801</v>
      </c>
      <c r="K74" s="10">
        <v>1.2138570946482401</v>
      </c>
      <c r="L74" s="8">
        <v>3</v>
      </c>
      <c r="M74" s="8">
        <v>0.6</v>
      </c>
      <c r="N74" s="9">
        <v>153.29774726847899</v>
      </c>
      <c r="O74" s="9">
        <v>932.99774726847897</v>
      </c>
      <c r="P74" s="9">
        <v>1239.5932418054399</v>
      </c>
      <c r="Q74" s="16" t="s">
        <v>26</v>
      </c>
      <c r="R74" s="16">
        <v>232</v>
      </c>
    </row>
    <row r="75" spans="1:18">
      <c r="A75" s="11" t="s">
        <v>170</v>
      </c>
      <c r="B75" s="12" t="s">
        <v>171</v>
      </c>
      <c r="C75" s="13">
        <v>2915.1</v>
      </c>
      <c r="D75" s="14">
        <v>1.11862750649007E-3</v>
      </c>
      <c r="E75" s="14">
        <v>0.98633678869658503</v>
      </c>
      <c r="F75" s="12" t="s">
        <v>132</v>
      </c>
      <c r="G75" s="13">
        <v>11.0420454545455</v>
      </c>
      <c r="H75" s="13">
        <v>242.92500000000001</v>
      </c>
      <c r="I75" s="13">
        <v>265.00909090909101</v>
      </c>
      <c r="J75" s="13">
        <v>250.77650390156401</v>
      </c>
      <c r="K75" s="14">
        <v>0.94629396690240397</v>
      </c>
      <c r="L75" s="12">
        <v>3</v>
      </c>
      <c r="M75" s="12">
        <v>0.6</v>
      </c>
      <c r="N75" s="13">
        <v>128.90772213710201</v>
      </c>
      <c r="O75" s="13">
        <v>923.93499486437497</v>
      </c>
      <c r="P75" s="13">
        <v>1181.7504391385801</v>
      </c>
      <c r="Q75" s="17" t="s">
        <v>26</v>
      </c>
      <c r="R75" s="17">
        <v>166</v>
      </c>
    </row>
    <row r="76" spans="1:18">
      <c r="A76" s="7" t="s">
        <v>172</v>
      </c>
      <c r="B76" s="8" t="s">
        <v>173</v>
      </c>
      <c r="C76" s="9">
        <v>2801.2</v>
      </c>
      <c r="D76" s="10">
        <v>1.0749200271620101E-3</v>
      </c>
      <c r="E76" s="10">
        <v>0.98741170872374695</v>
      </c>
      <c r="F76" s="8" t="s">
        <v>132</v>
      </c>
      <c r="G76" s="9">
        <v>10.6106060606061</v>
      </c>
      <c r="H76" s="9">
        <v>233.433333333333</v>
      </c>
      <c r="I76" s="9">
        <v>147.431578947368</v>
      </c>
      <c r="J76" s="9">
        <v>220.43803123334899</v>
      </c>
      <c r="K76" s="10">
        <v>1.4951887024966599</v>
      </c>
      <c r="L76" s="8">
        <v>3</v>
      </c>
      <c r="M76" s="8">
        <v>0.6</v>
      </c>
      <c r="N76" s="9">
        <v>103.691365975748</v>
      </c>
      <c r="O76" s="9">
        <v>545.98610281785204</v>
      </c>
      <c r="P76" s="9">
        <v>753.36883476934895</v>
      </c>
      <c r="Q76" s="16" t="s">
        <v>26</v>
      </c>
      <c r="R76" s="16">
        <v>236</v>
      </c>
    </row>
    <row r="77" spans="1:18">
      <c r="A77" s="11" t="s">
        <v>174</v>
      </c>
      <c r="B77" s="12" t="s">
        <v>175</v>
      </c>
      <c r="C77" s="13">
        <v>2796.85</v>
      </c>
      <c r="D77" s="14">
        <v>1.0732507775125201E-3</v>
      </c>
      <c r="E77" s="14">
        <v>0.98848495950126003</v>
      </c>
      <c r="F77" s="12" t="s">
        <v>132</v>
      </c>
      <c r="G77" s="13">
        <v>10.5941287878788</v>
      </c>
      <c r="H77" s="13">
        <v>233.07083333333301</v>
      </c>
      <c r="I77" s="13">
        <v>103.58703703703701</v>
      </c>
      <c r="J77" s="13">
        <v>168.59619976588601</v>
      </c>
      <c r="K77" s="14">
        <v>1.6275800967799201</v>
      </c>
      <c r="L77" s="12">
        <v>3</v>
      </c>
      <c r="M77" s="12">
        <v>0.6</v>
      </c>
      <c r="N77" s="13">
        <v>78.498490955805494</v>
      </c>
      <c r="O77" s="13">
        <v>389.25960206691701</v>
      </c>
      <c r="P77" s="13">
        <v>546.25658397852703</v>
      </c>
      <c r="Q77" s="17" t="s">
        <v>20</v>
      </c>
      <c r="R77" s="17">
        <v>65</v>
      </c>
    </row>
    <row r="78" spans="1:18">
      <c r="A78" s="7" t="s">
        <v>176</v>
      </c>
      <c r="B78" s="8" t="s">
        <v>177</v>
      </c>
      <c r="C78" s="9">
        <v>2482.6999999999998</v>
      </c>
      <c r="D78" s="10">
        <v>9.5270025397512404E-4</v>
      </c>
      <c r="E78" s="10">
        <v>0.99039699863425301</v>
      </c>
      <c r="F78" s="8" t="s">
        <v>132</v>
      </c>
      <c r="G78" s="9">
        <v>9.4041666666666703</v>
      </c>
      <c r="H78" s="9">
        <v>206.89166666666699</v>
      </c>
      <c r="I78" s="9">
        <v>177.335714285714</v>
      </c>
      <c r="J78" s="9">
        <v>158.52286710630901</v>
      </c>
      <c r="K78" s="10">
        <v>0.89391394026194104</v>
      </c>
      <c r="L78" s="8">
        <v>3</v>
      </c>
      <c r="M78" s="8">
        <v>0.6</v>
      </c>
      <c r="N78" s="9">
        <v>82.808644315326902</v>
      </c>
      <c r="O78" s="9">
        <v>614.81578717246896</v>
      </c>
      <c r="P78" s="9">
        <v>780.43307580312296</v>
      </c>
      <c r="Q78" s="16" t="s">
        <v>161</v>
      </c>
      <c r="R78" s="16">
        <v>286</v>
      </c>
    </row>
    <row r="79" spans="1:18">
      <c r="A79" s="11" t="s">
        <v>178</v>
      </c>
      <c r="B79" s="12" t="s">
        <v>179</v>
      </c>
      <c r="C79" s="13">
        <v>2420.5</v>
      </c>
      <c r="D79" s="14">
        <v>9.2883190266515798E-4</v>
      </c>
      <c r="E79" s="14">
        <v>0.99132583053691803</v>
      </c>
      <c r="F79" s="12" t="s">
        <v>132</v>
      </c>
      <c r="G79" s="13">
        <v>9.1685606060606109</v>
      </c>
      <c r="H79" s="13">
        <v>201.708333333333</v>
      </c>
      <c r="I79" s="13">
        <v>105.23913043478299</v>
      </c>
      <c r="J79" s="13">
        <v>126.983877785297</v>
      </c>
      <c r="K79" s="14">
        <v>1.20662226360745</v>
      </c>
      <c r="L79" s="12">
        <v>3</v>
      </c>
      <c r="M79" s="12">
        <v>0.6</v>
      </c>
      <c r="N79" s="13">
        <v>61.772024717370201</v>
      </c>
      <c r="O79" s="13">
        <v>377.48941602171902</v>
      </c>
      <c r="P79" s="13">
        <v>501.03346545646002</v>
      </c>
      <c r="Q79" s="17" t="s">
        <v>26</v>
      </c>
      <c r="R79" s="17">
        <v>214</v>
      </c>
    </row>
    <row r="80" spans="1:18">
      <c r="A80" s="7" t="s">
        <v>180</v>
      </c>
      <c r="B80" s="8" t="s">
        <v>181</v>
      </c>
      <c r="C80" s="9">
        <v>1971.2</v>
      </c>
      <c r="D80" s="10">
        <v>7.5641951932805596E-4</v>
      </c>
      <c r="E80" s="10">
        <v>0.99208225005624595</v>
      </c>
      <c r="F80" s="8" t="s">
        <v>132</v>
      </c>
      <c r="G80" s="9">
        <v>7.4666666666666703</v>
      </c>
      <c r="H80" s="9">
        <v>164.26666666666699</v>
      </c>
      <c r="I80" s="9">
        <v>328.53333333333302</v>
      </c>
      <c r="J80" s="9">
        <v>361.11823363916</v>
      </c>
      <c r="K80" s="10">
        <v>1.09918293518413</v>
      </c>
      <c r="L80" s="8">
        <v>3</v>
      </c>
      <c r="M80" s="8">
        <v>0.6</v>
      </c>
      <c r="N80" s="9">
        <v>178.99170727886801</v>
      </c>
      <c r="O80" s="9">
        <v>1164.59170727887</v>
      </c>
      <c r="P80" s="9">
        <v>1522.5751218365999</v>
      </c>
      <c r="Q80" s="16" t="s">
        <v>161</v>
      </c>
      <c r="R80" s="16">
        <v>288</v>
      </c>
    </row>
    <row r="81" spans="1:18">
      <c r="A81" s="11" t="s">
        <v>182</v>
      </c>
      <c r="B81" s="12" t="s">
        <v>183</v>
      </c>
      <c r="C81" s="13">
        <v>1777.5</v>
      </c>
      <c r="D81" s="14">
        <v>6.8208994298174703E-4</v>
      </c>
      <c r="E81" s="14">
        <v>0.99348998392731702</v>
      </c>
      <c r="F81" s="12" t="s">
        <v>132</v>
      </c>
      <c r="G81" s="13">
        <v>6.7329545454545503</v>
      </c>
      <c r="H81" s="13">
        <v>148.125</v>
      </c>
      <c r="I81" s="13">
        <v>444.375</v>
      </c>
      <c r="J81" s="13">
        <v>287.265769802112</v>
      </c>
      <c r="K81" s="14">
        <v>0.64644898970939402</v>
      </c>
      <c r="L81" s="12">
        <v>3</v>
      </c>
      <c r="M81" s="12">
        <v>0.6</v>
      </c>
      <c r="N81" s="13">
        <v>169.01005481955499</v>
      </c>
      <c r="O81" s="13">
        <v>1502.1350548195601</v>
      </c>
      <c r="P81" s="13">
        <v>1840.15516445867</v>
      </c>
      <c r="Q81" s="17" t="s">
        <v>26</v>
      </c>
      <c r="R81" s="17">
        <v>167</v>
      </c>
    </row>
    <row r="82" spans="1:18">
      <c r="A82" s="7" t="s">
        <v>184</v>
      </c>
      <c r="B82" s="8" t="s">
        <v>185</v>
      </c>
      <c r="C82" s="9">
        <v>1523.05</v>
      </c>
      <c r="D82" s="10">
        <v>5.8444843187530201E-4</v>
      </c>
      <c r="E82" s="10">
        <v>0.99407443235919202</v>
      </c>
      <c r="F82" s="8" t="s">
        <v>132</v>
      </c>
      <c r="G82" s="9">
        <v>5.76912878787879</v>
      </c>
      <c r="H82" s="9">
        <v>126.92083333333299</v>
      </c>
      <c r="I82" s="9">
        <v>304.61</v>
      </c>
      <c r="J82" s="9">
        <v>202.931421297935</v>
      </c>
      <c r="K82" s="10">
        <v>0.66620078558791596</v>
      </c>
      <c r="L82" s="8">
        <v>3</v>
      </c>
      <c r="M82" s="8">
        <v>0.6</v>
      </c>
      <c r="N82" s="9">
        <v>117.835204008845</v>
      </c>
      <c r="O82" s="9">
        <v>1031.66520400885</v>
      </c>
      <c r="P82" s="9">
        <v>1267.33561202654</v>
      </c>
      <c r="Q82" s="16" t="s">
        <v>23</v>
      </c>
      <c r="R82" s="16">
        <v>162</v>
      </c>
    </row>
    <row r="83" spans="1:18">
      <c r="A83" s="11" t="s">
        <v>186</v>
      </c>
      <c r="B83" s="12" t="s">
        <v>187</v>
      </c>
      <c r="C83" s="13">
        <v>1485</v>
      </c>
      <c r="D83" s="14">
        <v>5.6984729413664999E-4</v>
      </c>
      <c r="E83" s="14">
        <v>0.99464427965332902</v>
      </c>
      <c r="F83" s="12" t="s">
        <v>132</v>
      </c>
      <c r="G83" s="13">
        <v>5.625</v>
      </c>
      <c r="H83" s="13">
        <v>123.75</v>
      </c>
      <c r="I83" s="13">
        <v>212.142857142857</v>
      </c>
      <c r="J83" s="13">
        <v>208.808866806807</v>
      </c>
      <c r="K83" s="14">
        <v>0.98428422063814702</v>
      </c>
      <c r="L83" s="12">
        <v>3</v>
      </c>
      <c r="M83" s="12">
        <v>0.6</v>
      </c>
      <c r="N83" s="13">
        <v>106.227090040356</v>
      </c>
      <c r="O83" s="13">
        <v>742.65566146892695</v>
      </c>
      <c r="P83" s="13">
        <v>955.10984154963899</v>
      </c>
      <c r="Q83" s="17" t="s">
        <v>26</v>
      </c>
      <c r="R83" s="17">
        <v>214</v>
      </c>
    </row>
    <row r="84" spans="1:18">
      <c r="A84" s="7" t="s">
        <v>188</v>
      </c>
      <c r="B84" s="8" t="s">
        <v>189</v>
      </c>
      <c r="C84" s="9">
        <v>1228.1500000000001</v>
      </c>
      <c r="D84" s="10">
        <v>4.7128481770634798E-4</v>
      </c>
      <c r="E84" s="10">
        <v>0.99567401481928897</v>
      </c>
      <c r="F84" s="8" t="s">
        <v>132</v>
      </c>
      <c r="G84" s="9">
        <v>4.65208333333333</v>
      </c>
      <c r="H84" s="9">
        <v>102.345833333333</v>
      </c>
      <c r="I84" s="9">
        <v>204.691666666667</v>
      </c>
      <c r="J84" s="9">
        <v>116.51872560522899</v>
      </c>
      <c r="K84" s="10">
        <v>0.569240201629585</v>
      </c>
      <c r="L84" s="8">
        <v>3</v>
      </c>
      <c r="M84" s="8">
        <v>0.6</v>
      </c>
      <c r="N84" s="9">
        <v>72.825072593517504</v>
      </c>
      <c r="O84" s="9">
        <v>686.90007259351796</v>
      </c>
      <c r="P84" s="9">
        <v>832.55021778055402</v>
      </c>
      <c r="Q84" s="16" t="s">
        <v>26</v>
      </c>
      <c r="R84" s="16">
        <v>144</v>
      </c>
    </row>
    <row r="85" spans="1:18">
      <c r="A85" s="11" t="s">
        <v>190</v>
      </c>
      <c r="B85" s="12" t="s">
        <v>191</v>
      </c>
      <c r="C85" s="13">
        <v>1215.4000000000001</v>
      </c>
      <c r="D85" s="14">
        <v>4.66392189423356E-4</v>
      </c>
      <c r="E85" s="14">
        <v>0.99614040700871298</v>
      </c>
      <c r="F85" s="12" t="s">
        <v>132</v>
      </c>
      <c r="G85" s="13">
        <v>4.6037878787878803</v>
      </c>
      <c r="H85" s="13">
        <v>101.283333333333</v>
      </c>
      <c r="I85" s="13">
        <v>607.70000000000005</v>
      </c>
      <c r="J85" s="13">
        <v>568.08958800527205</v>
      </c>
      <c r="K85" s="14">
        <v>0.93481913445001197</v>
      </c>
      <c r="L85" s="12">
        <v>3</v>
      </c>
      <c r="M85" s="12">
        <v>0.6</v>
      </c>
      <c r="N85" s="13">
        <v>292.99421388450497</v>
      </c>
      <c r="O85" s="13">
        <v>2116.0942138845098</v>
      </c>
      <c r="P85" s="13">
        <v>2702.0826416535201</v>
      </c>
      <c r="Q85" s="17" t="s">
        <v>26</v>
      </c>
      <c r="R85" s="17" t="s">
        <v>196</v>
      </c>
    </row>
    <row r="86" spans="1:18">
      <c r="A86" s="7" t="s">
        <v>192</v>
      </c>
      <c r="B86" s="8" t="s">
        <v>193</v>
      </c>
      <c r="C86" s="9">
        <v>823.75</v>
      </c>
      <c r="D86" s="10">
        <v>3.1610216063640703E-4</v>
      </c>
      <c r="E86" s="10">
        <v>0.99719980493281202</v>
      </c>
      <c r="F86" s="8" t="s">
        <v>132</v>
      </c>
      <c r="G86" s="9">
        <v>3.12026515151515</v>
      </c>
      <c r="H86" s="9">
        <v>68.6458333333333</v>
      </c>
      <c r="I86" s="9">
        <v>274.58333333333297</v>
      </c>
      <c r="J86" s="9">
        <v>167.20577392343</v>
      </c>
      <c r="K86" s="10">
        <v>0.60894363796090001</v>
      </c>
      <c r="L86" s="8">
        <v>3</v>
      </c>
      <c r="M86" s="8">
        <v>0.6</v>
      </c>
      <c r="N86" s="9">
        <v>101.107181716086</v>
      </c>
      <c r="O86" s="9">
        <v>924.85718171608505</v>
      </c>
      <c r="P86" s="9">
        <v>1127.0715451482599</v>
      </c>
      <c r="Q86" s="16" t="s">
        <v>26</v>
      </c>
      <c r="R86" s="16">
        <v>194</v>
      </c>
    </row>
    <row r="87" spans="1:18">
      <c r="A87" s="11" t="s">
        <v>194</v>
      </c>
      <c r="B87" s="12" t="s">
        <v>195</v>
      </c>
      <c r="C87" s="13">
        <v>754.8</v>
      </c>
      <c r="D87" s="14">
        <v>2.8964359435309302E-4</v>
      </c>
      <c r="E87" s="14">
        <v>0.99748944852716503</v>
      </c>
      <c r="F87" s="12" t="s">
        <v>132</v>
      </c>
      <c r="G87" s="13">
        <v>2.8590909090909098</v>
      </c>
      <c r="H87" s="13">
        <v>62.9</v>
      </c>
      <c r="I87" s="13">
        <v>754.8</v>
      </c>
      <c r="J87" s="13" t="e">
        <v>#DIV/0!</v>
      </c>
      <c r="K87" s="14" t="e">
        <v>#DIV/0!</v>
      </c>
      <c r="L87" s="12">
        <v>3</v>
      </c>
      <c r="M87" s="12">
        <v>0.6</v>
      </c>
      <c r="N87" s="13" t="e">
        <v>#DIV/0!</v>
      </c>
      <c r="O87" s="13" t="e">
        <v>#DIV/0!</v>
      </c>
      <c r="P87" s="13" t="s">
        <v>196</v>
      </c>
      <c r="Q87" s="17" t="s">
        <v>161</v>
      </c>
      <c r="R87" s="17" t="s">
        <v>196</v>
      </c>
    </row>
    <row r="88" spans="1:18">
      <c r="A88" s="7" t="s">
        <v>197</v>
      </c>
      <c r="B88" s="8" t="s">
        <v>198</v>
      </c>
      <c r="C88" s="9">
        <v>630</v>
      </c>
      <c r="D88" s="10">
        <v>2.4175339751251801E-4</v>
      </c>
      <c r="E88" s="10">
        <v>0.99828608353230197</v>
      </c>
      <c r="F88" s="8" t="s">
        <v>132</v>
      </c>
      <c r="G88" s="9">
        <v>2.3863636363636398</v>
      </c>
      <c r="H88" s="9">
        <v>52.5</v>
      </c>
      <c r="I88" s="9">
        <v>157.5</v>
      </c>
      <c r="J88" s="9">
        <v>90.568206341960902</v>
      </c>
      <c r="K88" s="10">
        <v>0.57503623074260901</v>
      </c>
      <c r="L88" s="8">
        <v>3</v>
      </c>
      <c r="M88" s="8">
        <v>0.6</v>
      </c>
      <c r="N88" s="9">
        <v>56.317214742632402</v>
      </c>
      <c r="O88" s="9">
        <v>528.81721474263202</v>
      </c>
      <c r="P88" s="9">
        <v>641.45164422789696</v>
      </c>
      <c r="Q88" s="16" t="s">
        <v>26</v>
      </c>
      <c r="R88" s="16" t="s">
        <v>196</v>
      </c>
    </row>
    <row r="89" spans="1:18">
      <c r="A89" s="11" t="s">
        <v>199</v>
      </c>
      <c r="B89" s="12" t="s">
        <v>200</v>
      </c>
      <c r="C89" s="13">
        <v>450</v>
      </c>
      <c r="D89" s="14">
        <v>1.7268099822322701E-4</v>
      </c>
      <c r="E89" s="14">
        <v>0.99885117250559796</v>
      </c>
      <c r="F89" s="12" t="s">
        <v>132</v>
      </c>
      <c r="G89" s="13">
        <v>1.7045454545454499</v>
      </c>
      <c r="H89" s="13">
        <v>37.5</v>
      </c>
      <c r="I89" s="13">
        <v>112.5</v>
      </c>
      <c r="J89" s="13">
        <v>96.0468635614927</v>
      </c>
      <c r="K89" s="14">
        <v>0.85374989832437997</v>
      </c>
      <c r="L89" s="12">
        <v>3</v>
      </c>
      <c r="M89" s="12">
        <v>0.6</v>
      </c>
      <c r="N89" s="13">
        <v>50.878791128284497</v>
      </c>
      <c r="O89" s="13">
        <v>388.378791128285</v>
      </c>
      <c r="P89" s="13">
        <v>490.13637338485398</v>
      </c>
      <c r="Q89" s="17" t="s">
        <v>26</v>
      </c>
      <c r="R89" s="17">
        <v>234</v>
      </c>
    </row>
    <row r="90" spans="1:18">
      <c r="A90" s="7" t="s">
        <v>201</v>
      </c>
      <c r="B90" s="8" t="s">
        <v>202</v>
      </c>
      <c r="C90" s="9">
        <v>379.6</v>
      </c>
      <c r="D90" s="10">
        <v>1.45666015390082E-4</v>
      </c>
      <c r="E90" s="10">
        <v>0.99899683852098897</v>
      </c>
      <c r="F90" s="8" t="s">
        <v>132</v>
      </c>
      <c r="G90" s="9">
        <v>1.43787878787879</v>
      </c>
      <c r="H90" s="9">
        <v>31.633333333333301</v>
      </c>
      <c r="I90" s="9">
        <v>126.533333333333</v>
      </c>
      <c r="J90" s="9">
        <v>103.58114371512499</v>
      </c>
      <c r="K90" s="10">
        <v>0.81860756360741405</v>
      </c>
      <c r="L90" s="8">
        <v>3</v>
      </c>
      <c r="M90" s="8">
        <v>0.6</v>
      </c>
      <c r="N90" s="9">
        <v>55.619841973520899</v>
      </c>
      <c r="O90" s="9">
        <v>435.21984197351998</v>
      </c>
      <c r="P90" s="9">
        <v>546.45952592056199</v>
      </c>
      <c r="Q90" s="16" t="s">
        <v>26</v>
      </c>
      <c r="R90" s="16">
        <v>170</v>
      </c>
    </row>
    <row r="91" spans="1:18">
      <c r="A91" s="11" t="s">
        <v>203</v>
      </c>
      <c r="B91" s="12" t="s">
        <v>204</v>
      </c>
      <c r="C91" s="13">
        <v>197.6</v>
      </c>
      <c r="D91" s="14">
        <v>7.5826144997577098E-5</v>
      </c>
      <c r="E91" s="14">
        <v>0.99957881185855602</v>
      </c>
      <c r="F91" s="12" t="s">
        <v>132</v>
      </c>
      <c r="G91" s="13">
        <v>0.74848484848484798</v>
      </c>
      <c r="H91" s="13">
        <v>16.466666666666701</v>
      </c>
      <c r="I91" s="13">
        <v>17.9636363636364</v>
      </c>
      <c r="J91" s="13">
        <v>20.470040191815599</v>
      </c>
      <c r="K91" s="14">
        <v>1.1395265288966201</v>
      </c>
      <c r="L91" s="12">
        <v>3</v>
      </c>
      <c r="M91" s="12">
        <v>0.6</v>
      </c>
      <c r="N91" s="13">
        <v>10.069582888380999</v>
      </c>
      <c r="O91" s="13">
        <v>63.960491979290197</v>
      </c>
      <c r="P91" s="13">
        <v>84.099657756052295</v>
      </c>
      <c r="Q91" s="17" t="s">
        <v>20</v>
      </c>
      <c r="R91" s="17">
        <v>102</v>
      </c>
    </row>
  </sheetData>
  <autoFilter ref="A1:R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Por maquina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Betini</cp:lastModifiedBy>
  <dcterms:created xsi:type="dcterms:W3CDTF">2025-07-21T09:59:00Z</dcterms:created>
  <dcterms:modified xsi:type="dcterms:W3CDTF">2026-02-23T13:50:28Z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CFCC12300DFA4D4BB7014D896F5A6292_12</vt:lpwstr>
  </property>
  <property fmtid="{D5CDD505-2E9C-101B-9397-08002B2CF9AE}" pid="3" name="KSOProductBuildVer">
    <vt:lpwstr>1046-12.2.0.23196</vt:lpwstr>
  </property>
</Properties>
</file>