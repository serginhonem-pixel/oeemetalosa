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EstaPastaDeTrabalho" hidePivotFieldList="1"/>
  <bookViews>
    <workbookView windowWidth="20490" windowHeight="8835" activeTab="1"/>
  </bookViews>
  <sheets>
    <sheet name="Dados" sheetId="1" r:id="rId1"/>
    <sheet name="Consolidação" sheetId="6" r:id="rId2"/>
    <sheet name="Cálculo de Estoque" sheetId="5" r:id="rId3"/>
    <sheet name="Configurações" sheetId="4" r:id="rId4"/>
  </sheets>
  <definedNames>
    <definedName name="_Valores">OFFSET('Cálculo de Estoque'!$F$8,,,COUNTA('Cálculo de Estoque'!$F$8:$F$1048576))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<sst xmlns="http://schemas.openxmlformats.org/spreadsheetml/2006/main" count="4243" uniqueCount="77">
  <si>
    <t>Produto</t>
  </si>
  <si>
    <t>Descrição</t>
  </si>
  <si>
    <t>Data</t>
  </si>
  <si>
    <t>Saída / Demanda</t>
  </si>
  <si>
    <t>02000</t>
  </si>
  <si>
    <t>TELHA GALVALUME TP 40 0,43MM</t>
  </si>
  <si>
    <t>02004</t>
  </si>
  <si>
    <t>TELHA GALVALUME TP 40 0,43MM 4,00M</t>
  </si>
  <si>
    <t>02006</t>
  </si>
  <si>
    <t>TELHA GALVALUME TP 40 0,43MM 6,00M</t>
  </si>
  <si>
    <t>02003</t>
  </si>
  <si>
    <t>TELHA GALVALUME TP 40 0,43MM 3,00M</t>
  </si>
  <si>
    <t>02005</t>
  </si>
  <si>
    <t>TELHA GALVALUME TP 40 0,43MM 5,00M</t>
  </si>
  <si>
    <t>02015</t>
  </si>
  <si>
    <t>TELHA GALVALUME OND 17 0,43MM 5,00M</t>
  </si>
  <si>
    <t>02007</t>
  </si>
  <si>
    <t>TELHA GALVALUME TP 40 0,43MM 7,00M</t>
  </si>
  <si>
    <t>02014</t>
  </si>
  <si>
    <t>TELHA GALVALUME OND 17 0,43MM 4,00M</t>
  </si>
  <si>
    <t>02017</t>
  </si>
  <si>
    <t>TELHA GALVALUME OND 17 0,43MM 7,00M</t>
  </si>
  <si>
    <t>02013</t>
  </si>
  <si>
    <t>TELHA GALVALUME OND 17 0,43MM 3,00M</t>
  </si>
  <si>
    <t>02016</t>
  </si>
  <si>
    <t>TELHA GALVALUME OND 17 0,43MM 6,00M</t>
  </si>
  <si>
    <t>02020A</t>
  </si>
  <si>
    <t>TELHA CUMEEIRA GL TRAP 40 ABAS 400MM</t>
  </si>
  <si>
    <t>02015I</t>
  </si>
  <si>
    <t>02014I</t>
  </si>
  <si>
    <t>02016I</t>
  </si>
  <si>
    <t>02010</t>
  </si>
  <si>
    <t>TELHA GALVALUME OND 17 0,43MM</t>
  </si>
  <si>
    <t>02018</t>
  </si>
  <si>
    <t>TELHA GALVALUME OND 17 0,43MM 8,00M</t>
  </si>
  <si>
    <t>02020</t>
  </si>
  <si>
    <t>TELHA CUMEEIRA GL TRAP 40 ABAS 300MM</t>
  </si>
  <si>
    <t>02008</t>
  </si>
  <si>
    <t>TELHA GALVALUME TP 40 0,43MM 8,00M</t>
  </si>
  <si>
    <t>02020I</t>
  </si>
  <si>
    <t>02022</t>
  </si>
  <si>
    <t>TELHA CUMEEIRA GL OND 17 ABAS 300MM</t>
  </si>
  <si>
    <t>01980</t>
  </si>
  <si>
    <t>TELHA GALVALUME #0,43 TRAP 40 BRN</t>
  </si>
  <si>
    <t>01974</t>
  </si>
  <si>
    <t>TELHA GALVALUME #0,32 TRAP 40 4,00M</t>
  </si>
  <si>
    <t>01976</t>
  </si>
  <si>
    <t>TELHA GALVALUME #0,32 TRAP 40 6,00M</t>
  </si>
  <si>
    <t>A</t>
  </si>
  <si>
    <t>B</t>
  </si>
  <si>
    <t>C</t>
  </si>
  <si>
    <t>Descricao</t>
  </si>
  <si>
    <t>Quantidade</t>
  </si>
  <si>
    <t>%</t>
  </si>
  <si>
    <t>Acumulado</t>
  </si>
  <si>
    <t>ABC</t>
  </si>
  <si>
    <t>Diário (PC)</t>
  </si>
  <si>
    <t>Mensal</t>
  </si>
  <si>
    <t>Média</t>
  </si>
  <si>
    <t>Desv. Padrão</t>
  </si>
  <si>
    <t>% Desv.padrão</t>
  </si>
  <si>
    <t>Lead Time</t>
  </si>
  <si>
    <t>Nível de Segurança</t>
  </si>
  <si>
    <t>Estoque de Segurança</t>
  </si>
  <si>
    <t>Ponto de Pedido</t>
  </si>
  <si>
    <t>Estoque Máximo</t>
  </si>
  <si>
    <t>pedido</t>
  </si>
  <si>
    <t xml:space="preserve">Data </t>
  </si>
  <si>
    <t>Saída</t>
  </si>
  <si>
    <t>Entrada</t>
  </si>
  <si>
    <t>Estoque</t>
  </si>
  <si>
    <t>Previsão</t>
  </si>
  <si>
    <t>Recebimento</t>
  </si>
  <si>
    <t>Ponto de Ressuprimento</t>
  </si>
  <si>
    <t>Estoque Inicial</t>
  </si>
  <si>
    <t>Nível de Serviço</t>
  </si>
  <si>
    <t>Fator de Serviço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</si>
</sst>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* #,##0.0000_-;\-* #,##0.0000_-;_-* &quot;-&quot;??_-;_-@_-"/>
    <numFmt numFmtId="181" formatCode="dd/mm/yy;@"/>
    <numFmt numFmtId="182" formatCode="_-* #,##0_-;\-* #,##0_-;_-* &quot;-&quot;??_-;_-@_-"/>
  </numFmts>
  <fonts count="31">
    <font>
      <sz val="11"/>
      <color theme="1"/>
      <name val="Calibri"/>
      <charset val="134"/>
      <scheme val="minor"/>
    </font>
    <font>
      <sz val="24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6" tint="-0.249977111117893"/>
      <name val="Calibri"/>
      <charset val="134"/>
      <scheme val="minor"/>
    </font>
    <font>
      <sz val="9"/>
      <color theme="1"/>
      <name val="Calibri"/>
      <charset val="134"/>
    </font>
    <font>
      <sz val="12"/>
      <color theme="0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8"/>
      <color theme="1"/>
      <name val="Calibri"/>
      <charset val="134"/>
    </font>
    <font>
      <sz val="8"/>
      <color theme="1"/>
      <name val="Calibri"/>
      <charset val="134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theme="0" tint="-0.14996795556505"/>
      </left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12" applyNumberFormat="0" applyAlignment="0" applyProtection="0"/>
    <xf numFmtId="0" fontId="23" fillId="8" borderId="13" applyNumberFormat="0" applyAlignment="0" applyProtection="0"/>
    <xf numFmtId="0" fontId="24" fillId="8" borderId="12" applyNumberFormat="0" applyAlignment="0" applyProtection="0"/>
    <xf numFmtId="0" fontId="25" fillId="9" borderId="14" applyNumberFormat="0" applyAlignment="0" applyProtection="0"/>
    <xf numFmtId="0" fontId="26" fillId="0" borderId="15" applyNumberFormat="0" applyFill="0" applyAlignment="0" applyProtection="0"/>
    <xf numFmtId="0" fontId="3" fillId="0" borderId="16" applyNumberFormat="0" applyFill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3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3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3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3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3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9" fontId="0" fillId="0" borderId="0" xfId="3" applyFont="1" applyFill="1" applyBorder="1"/>
    <xf numFmtId="180" fontId="0" fillId="0" borderId="0" xfId="1" applyNumberFormat="1" applyFont="1" applyFill="1" applyBorder="1"/>
    <xf numFmtId="9" fontId="3" fillId="0" borderId="0" xfId="3" applyFont="1" applyFill="1" applyBorder="1"/>
    <xf numFmtId="180" fontId="3" fillId="0" borderId="0" xfId="1" applyNumberFormat="1" applyFont="1" applyFill="1" applyBorder="1"/>
    <xf numFmtId="10" fontId="0" fillId="0" borderId="0" xfId="3" applyNumberFormat="1" applyFont="1" applyFill="1" applyBorder="1"/>
    <xf numFmtId="181" fontId="0" fillId="0" borderId="0" xfId="0" applyNumberFormat="1"/>
    <xf numFmtId="4" fontId="0" fillId="0" borderId="0" xfId="0" applyNumberFormat="1"/>
    <xf numFmtId="182" fontId="0" fillId="0" borderId="0" xfId="1" applyNumberFormat="1" applyFont="1"/>
    <xf numFmtId="58" fontId="0" fillId="0" borderId="0" xfId="0" applyNumberFormat="1"/>
    <xf numFmtId="4" fontId="1" fillId="2" borderId="0" xfId="0" applyNumberFormat="1" applyFont="1" applyFill="1" applyAlignment="1">
      <alignment horizontal="left" vertical="center"/>
    </xf>
    <xf numFmtId="182" fontId="1" fillId="2" borderId="0" xfId="1" applyNumberFormat="1" applyFont="1" applyFill="1" applyAlignment="1">
      <alignment horizontal="left" vertical="center"/>
    </xf>
    <xf numFmtId="0" fontId="4" fillId="0" borderId="2" xfId="0" applyFont="1" applyBorder="1"/>
    <xf numFmtId="4" fontId="0" fillId="0" borderId="0" xfId="1" applyNumberFormat="1" applyFont="1" applyBorder="1"/>
    <xf numFmtId="4" fontId="5" fillId="4" borderId="3" xfId="0" applyNumberFormat="1" applyFont="1" applyFill="1" applyBorder="1" applyAlignment="1">
      <alignment horizontal="right"/>
    </xf>
    <xf numFmtId="4" fontId="0" fillId="0" borderId="4" xfId="1" applyNumberFormat="1" applyFont="1" applyBorder="1"/>
    <xf numFmtId="0" fontId="3" fillId="5" borderId="0" xfId="0" applyFont="1" applyFill="1"/>
    <xf numFmtId="4" fontId="3" fillId="5" borderId="0" xfId="0" applyNumberFormat="1" applyFont="1" applyFill="1"/>
    <xf numFmtId="182" fontId="3" fillId="5" borderId="5" xfId="1" applyNumberFormat="1" applyFont="1" applyFill="1" applyBorder="1"/>
    <xf numFmtId="0" fontId="3" fillId="5" borderId="5" xfId="0" applyFont="1" applyFill="1" applyBorder="1"/>
    <xf numFmtId="4" fontId="0" fillId="0" borderId="6" xfId="1" applyNumberFormat="1" applyFont="1" applyBorder="1"/>
    <xf numFmtId="181" fontId="0" fillId="0" borderId="0" xfId="0" applyNumberFormat="1" applyAlignment="1">
      <alignment horizontal="left"/>
    </xf>
    <xf numFmtId="182" fontId="0" fillId="0" borderId="7" xfId="1" applyNumberFormat="1" applyFont="1" applyBorder="1"/>
    <xf numFmtId="182" fontId="0" fillId="0" borderId="7" xfId="0" applyNumberFormat="1" applyBorder="1"/>
    <xf numFmtId="4" fontId="0" fillId="0" borderId="6" xfId="3" applyNumberFormat="1" applyFont="1" applyBorder="1"/>
    <xf numFmtId="4" fontId="5" fillId="4" borderId="0" xfId="0" applyNumberFormat="1" applyFont="1" applyFill="1" applyAlignment="1">
      <alignment horizontal="right"/>
    </xf>
    <xf numFmtId="58" fontId="1" fillId="2" borderId="0" xfId="0" applyNumberFormat="1" applyFont="1" applyFill="1" applyAlignment="1">
      <alignment horizontal="left" vertical="center"/>
    </xf>
    <xf numFmtId="58" fontId="0" fillId="3" borderId="0" xfId="0" applyNumberFormat="1" applyFill="1"/>
    <xf numFmtId="182" fontId="0" fillId="3" borderId="0" xfId="1" applyNumberFormat="1" applyFont="1" applyFill="1"/>
    <xf numFmtId="58" fontId="3" fillId="5" borderId="5" xfId="0" applyNumberFormat="1" applyFont="1" applyFill="1" applyBorder="1"/>
    <xf numFmtId="58" fontId="0" fillId="0" borderId="7" xfId="0" applyNumberFormat="1" applyBorder="1"/>
    <xf numFmtId="0" fontId="6" fillId="2" borderId="0" xfId="0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left" vertical="center"/>
    </xf>
    <xf numFmtId="0" fontId="8" fillId="4" borderId="3" xfId="0" applyFont="1" applyFill="1" applyBorder="1"/>
    <xf numFmtId="0" fontId="9" fillId="0" borderId="0" xfId="0" applyFont="1"/>
    <xf numFmtId="4" fontId="9" fillId="0" borderId="0" xfId="0" applyNumberFormat="1" applyFont="1"/>
    <xf numFmtId="9" fontId="9" fillId="0" borderId="0" xfId="0" applyNumberFormat="1" applyFont="1"/>
    <xf numFmtId="0" fontId="7" fillId="2" borderId="0" xfId="0" applyFont="1" applyFill="1" applyAlignment="1">
      <alignment horizontal="left" vertical="center"/>
    </xf>
    <xf numFmtId="9" fontId="7" fillId="2" borderId="0" xfId="0" applyNumberFormat="1" applyFont="1" applyFill="1" applyAlignment="1">
      <alignment horizontal="left" vertical="center"/>
    </xf>
    <xf numFmtId="4" fontId="8" fillId="4" borderId="3" xfId="0" applyNumberFormat="1" applyFont="1" applyFill="1" applyBorder="1"/>
    <xf numFmtId="181" fontId="10" fillId="0" borderId="0" xfId="0" applyNumberFormat="1" applyFont="1"/>
    <xf numFmtId="0" fontId="11" fillId="2" borderId="0" xfId="0" applyFont="1" applyFill="1" applyAlignment="1">
      <alignment horizontal="left" vertical="center"/>
    </xf>
    <xf numFmtId="0" fontId="12" fillId="3" borderId="0" xfId="0" applyFont="1" applyFill="1"/>
    <xf numFmtId="181" fontId="13" fillId="3" borderId="0" xfId="0" applyNumberFormat="1" applyFont="1" applyFill="1"/>
    <xf numFmtId="0" fontId="12" fillId="3" borderId="0" xfId="0" applyFont="1" applyFill="1" applyAlignment="1">
      <alignment horizontal="center"/>
    </xf>
    <xf numFmtId="49" fontId="0" fillId="0" borderId="0" xfId="0" applyNumberFormat="1"/>
    <xf numFmtId="58" fontId="10" fillId="0" borderId="0" xfId="0" applyNumberFormat="1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5">
    <dxf>
      <font>
        <b val="1"/>
      </font>
      <fill>
        <patternFill patternType="solid">
          <fgColor theme="0" tint="-0.149998474074526"/>
          <bgColor theme="0" tint="-0.149998474074526"/>
        </patternFill>
      </fill>
    </dxf>
    <dxf>
      <font>
        <b val="1"/>
      </font>
      <fill>
        <patternFill patternType="solid">
          <fgColor theme="0" tint="-0.149998474074526"/>
          <bgColor theme="0" tint="-0.149998474074526"/>
        </patternFill>
      </fill>
    </dxf>
    <dxf>
      <numFmt numFmtId="4" formatCode="#,##0.00"/>
    </dxf>
    <dxf>
      <numFmt numFmtId="4" formatCode="#,##0.00"/>
    </dxf>
    <dxf>
      <numFmt numFmtId="49" formatCode="@"/>
    </dxf>
    <dxf>
      <font>
        <name val="Calibri"/>
        <scheme val="none"/>
        <family val="2"/>
        <strike val="0"/>
        <u val="none"/>
        <sz val="10"/>
      </font>
      <numFmt numFmtId="58" formatCode="dd/mm/yyyy"/>
    </dxf>
    <dxf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9" formatCode="0%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9" formatCode="0%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9" formatCode="0%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9" formatCode="0%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8"/>
        <color theme="1"/>
      </font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0" formatCode="_-* #,##0.0000_-;\-* #,##0.0000_-;_-* &quot;-&quot;??_-;_-@_-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228600</xdr:colOff>
      <xdr:row>0</xdr:row>
      <xdr:rowOff>85725</xdr:rowOff>
    </xdr:from>
    <xdr:to>
      <xdr:col>3</xdr:col>
      <xdr:colOff>512049</xdr:colOff>
      <xdr:row>1</xdr:row>
      <xdr:rowOff>217254</xdr:rowOff>
    </xdr:to>
    <xdr:sp>
      <xdr:nvSpPr>
        <xdr:cNvPr id="2" name="CaixaDeTexto 1"/>
        <xdr:cNvSpPr txBox="1"/>
      </xdr:nvSpPr>
      <xdr:spPr>
        <a:xfrm>
          <a:off x="228600" y="85725"/>
          <a:ext cx="3997960" cy="5314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Histórico</a:t>
          </a:r>
          <a:r>
            <a:rPr lang="pt-BR" sz="2800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 Faturamento</a:t>
          </a:r>
          <a:endParaRPr lang="pt-BR" sz="28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66675</xdr:colOff>
      <xdr:row>0</xdr:row>
      <xdr:rowOff>209550</xdr:rowOff>
    </xdr:from>
    <xdr:to>
      <xdr:col>3</xdr:col>
      <xdr:colOff>710021</xdr:colOff>
      <xdr:row>2</xdr:row>
      <xdr:rowOff>67900</xdr:rowOff>
    </xdr:to>
    <xdr:sp>
      <xdr:nvSpPr>
        <xdr:cNvPr id="2" name="CaixaDeTexto 1"/>
        <xdr:cNvSpPr txBox="1"/>
      </xdr:nvSpPr>
      <xdr:spPr>
        <a:xfrm>
          <a:off x="66675" y="209550"/>
          <a:ext cx="3357880" cy="657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36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Consolidação</a:t>
          </a:r>
          <a:endParaRPr lang="pt-BR" sz="36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228600</xdr:colOff>
      <xdr:row>0</xdr:row>
      <xdr:rowOff>85725</xdr:rowOff>
    </xdr:from>
    <xdr:to>
      <xdr:col>1</xdr:col>
      <xdr:colOff>1360822</xdr:colOff>
      <xdr:row>1</xdr:row>
      <xdr:rowOff>218257</xdr:rowOff>
    </xdr:to>
    <xdr:sp>
      <xdr:nvSpPr>
        <xdr:cNvPr id="2" name="CaixaDeTexto 1"/>
        <xdr:cNvSpPr txBox="1"/>
      </xdr:nvSpPr>
      <xdr:spPr>
        <a:xfrm>
          <a:off x="228600" y="85725"/>
          <a:ext cx="1551305" cy="532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Cálculo</a:t>
          </a:r>
          <a:endParaRPr lang="pt-BR" sz="28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14</xdr:row>
      <xdr:rowOff>133007</xdr:rowOff>
    </xdr:from>
    <xdr:to>
      <xdr:col>3</xdr:col>
      <xdr:colOff>498231</xdr:colOff>
      <xdr:row>23</xdr:row>
      <xdr:rowOff>38841</xdr:rowOff>
    </xdr:to>
    <xdr:pic>
      <xdr:nvPicPr>
        <xdr:cNvPr id="4" name="Imagem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218815"/>
          <a:ext cx="3155315" cy="16205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219075</xdr:colOff>
      <xdr:row>0</xdr:row>
      <xdr:rowOff>104775</xdr:rowOff>
    </xdr:from>
    <xdr:to>
      <xdr:col>3</xdr:col>
      <xdr:colOff>25378</xdr:colOff>
      <xdr:row>1</xdr:row>
      <xdr:rowOff>237307</xdr:rowOff>
    </xdr:to>
    <xdr:sp>
      <xdr:nvSpPr>
        <xdr:cNvPr id="2" name="CaixaDeTexto 1"/>
        <xdr:cNvSpPr txBox="1"/>
      </xdr:nvSpPr>
      <xdr:spPr>
        <a:xfrm>
          <a:off x="219075" y="104775"/>
          <a:ext cx="2758440" cy="532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Configurações</a:t>
          </a:r>
          <a:endParaRPr lang="pt-BR" sz="28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6.4500587963" refreshedBy="Sergio Betini" recordCount="2069">
  <cacheSource type="worksheet">
    <worksheetSource name="tSaida"/>
  </cacheSource>
  <cacheFields count="4">
    <cacheField name="Produto" numFmtId="0">
      <sharedItems count="1059">
        <s v="02000"/>
        <s v="02004"/>
        <s v="02006"/>
        <s v="02003"/>
        <s v="02005"/>
        <s v="02015"/>
        <s v="02007"/>
        <s v="02014"/>
        <s v="02017"/>
        <s v="02013"/>
        <s v="02016"/>
        <s v="02020A"/>
        <s v="02015I"/>
        <s v="02014I"/>
        <s v="02016I"/>
        <s v="02010"/>
        <s v="02018"/>
        <s v="02020"/>
        <s v="02008"/>
        <s v="02020I"/>
        <s v="02022"/>
        <s v="01980"/>
        <s v="01974"/>
        <s v="01976"/>
        <s v="03002" u="1"/>
        <s v="05116" u="1"/>
        <s v="10419" u="1"/>
        <s v="01396" u="1"/>
        <s v="10236" u="1"/>
        <s v="00670B" u="1"/>
        <s v="01398" u="1"/>
        <s v="00670K" u="1"/>
        <s v="01394" u="1"/>
        <s v="82250" u="1"/>
        <s v="10646" u="1"/>
        <s v="01391" u="1"/>
        <s v="02501" u="1"/>
        <s v="00672K" u="1"/>
        <s v="01393" u="1"/>
        <s v="01394A" u="1"/>
        <s v="00672B" u="1"/>
        <s v="00147" u="1"/>
        <s v="01390" u="1"/>
        <s v="10022" u="1"/>
        <s v="10018" u="1"/>
        <s v="00653B" u="1"/>
        <s v="00652B" u="1"/>
        <s v="01380C" u="1"/>
        <s v="82280C" u="1"/>
        <s v="01382C" u="1"/>
        <s v="00722E" u="1"/>
        <s v="00809" u="1"/>
        <s v="00653K" u="1"/>
        <s v="00670A" u="1"/>
        <s v="01371C" u="1"/>
        <s v="01115I" u="1"/>
        <s v="01382A" u="1"/>
        <s v="00901" u="1"/>
        <s v="02404A" u="1"/>
        <s v="01113" u="1"/>
        <s v="01108I" u="1"/>
        <s v="01371A" u="1"/>
        <s v="04750A" u="1"/>
        <s v="00140E" u="1"/>
        <s v="05123" u="1"/>
        <s v="02511" u="1"/>
        <s v="00140" u="1"/>
        <s v="05124" u="1"/>
        <s v="00654B" u="1"/>
        <s v="00147E" u="1"/>
        <s v="00281C" u="1"/>
        <s v="02053H" u="1"/>
        <s v="10948" u="1"/>
        <s v="10949" u="1"/>
        <s v="09020B" u="1"/>
        <s v="00671K" u="1"/>
        <s v="00694" u="1"/>
        <s v="00691" u="1"/>
        <s v="01101" u="1"/>
        <s v="02522" u="1"/>
        <s v="01395" u="1"/>
        <s v="82253" u="1"/>
        <s v="10020" u="1"/>
        <s v="00285C" u="1"/>
        <s v="01395A" u="1"/>
        <s v="00148" u="1"/>
        <s v="00653A" u="1"/>
        <s v="01371G" u="1"/>
        <s v="09091" u="1"/>
        <s v="00656B" u="1"/>
        <s v="82257" u="1"/>
        <s v="00365E" u="1"/>
        <s v="00676B" u="1"/>
        <s v="00720E" u="1"/>
        <s v="01380A" u="1"/>
        <s v="00671B" u="1"/>
        <s v="01393A" u="1"/>
        <s v="01103I" u="1"/>
        <s v="02401A" u="1"/>
        <s v="01051" u="1"/>
        <s v="00281A" u="1"/>
        <s v="01382D" u="1"/>
        <s v="01379K" u="1"/>
        <s v="00670E" u="1"/>
        <s v="00668K" u="1"/>
        <s v="00668B" u="1"/>
        <s v="00652K" u="1"/>
        <s v="01392" u="1"/>
        <s v="01053" u="1"/>
        <s v="00166" u="1"/>
        <s v="00651B" u="1"/>
        <s v="C02620" u="1"/>
        <s v="02620" u="1"/>
        <s v="01382I" u="1"/>
        <s v="01101I" u="1"/>
        <s v="00678B" u="1"/>
        <s v="00150" u="1"/>
        <s v="00656K" u="1"/>
        <s v="01377K" u="1"/>
        <s v="02503" u="1"/>
        <s v="01332E" u="1"/>
        <s v="09020D" u="1"/>
        <s v="82280A" u="1"/>
        <s v="00286C" u="1"/>
        <s v="00651A" u="1"/>
        <s v="00693" u="1"/>
        <s v="01109I" u="1"/>
        <s v="01373C" u="1"/>
        <s v="10636" u="1"/>
        <s v="01106" u="1"/>
        <s v="04751A" u="1"/>
        <s v="01108" u="1"/>
        <s v="00690" u="1"/>
        <s v="01378K" u="1"/>
        <s v="82252" u="1"/>
        <s v="02506" u="1"/>
        <s v="01334E" u="1"/>
        <s v="00902" u="1"/>
        <s v="03003" u="1"/>
        <s v="82280E" u="1"/>
        <s v="00676C" u="1"/>
        <s v="45534" u="1"/>
        <s v="01335D" u="1"/>
        <s v="01374D" u="1"/>
        <s v="00678D" u="1"/>
        <s v="01371I" u="1"/>
        <s v="00692" u="1"/>
        <s v="01380I" u="1"/>
        <s v="01103" u="1"/>
        <s v="00676A" u="1"/>
        <s v="01385K" u="1"/>
        <s v="03503" u="1"/>
        <s v="02621" u="1"/>
        <s v="C02621" u="1"/>
        <s v="01382K" u="1"/>
        <s v="00670C" u="1"/>
        <s v="00695" u="1"/>
        <s v="01371B" u="1"/>
        <s v="00770" u="1"/>
        <s v="00782" u="1"/>
        <s v="00365" u="1"/>
        <s v="00111" u="1"/>
        <s v="01400" u="1"/>
        <s v="01381C" u="1"/>
        <s v="00805" u="1"/>
        <s v="04902" u="1"/>
        <s v="01375C" u="1"/>
        <s v="09092" u="1"/>
        <s v="00284" u="1"/>
        <s v="01387K" u="1"/>
        <s v="00672C" u="1"/>
        <s v="00676K" u="1"/>
        <s v="05109" u="1"/>
        <s v="01388E" u="1"/>
        <s v="01384C" u="1"/>
        <s v="00140F" u="1"/>
        <s v="00111E" u="1"/>
        <s v="00154E" u="1"/>
        <s v="04903" u="1"/>
        <s v="01384K" u="1"/>
        <s v="00674B" u="1"/>
        <s v="01335E" u="1"/>
        <s v="01118" u="1"/>
        <s v="01370A" u="1"/>
        <s v="00654K" u="1"/>
        <s v="00655B" u="1"/>
        <s v="01337C" u="1"/>
        <s v="01334C" u="1"/>
        <s v="82280D" u="1"/>
        <s v="01383D" u="1"/>
        <s v="00653I" u="1"/>
        <s v="01113I" u="1"/>
        <s v="01380D" u="1"/>
        <s v="01116" u="1"/>
        <s v="00650B" u="1"/>
        <s v="01379E" u="1"/>
        <s v="00656C" u="1"/>
        <s v="02410" u="1"/>
        <s v="01337E" u="1"/>
        <s v="01385D" u="1"/>
        <s v="00722ERF" u="1"/>
        <s v="01376K" u="1"/>
        <s v="01102" u="1"/>
        <s v="00154" u="1"/>
        <s v="04904" u="1"/>
        <s v="01334K" u="1"/>
        <s v="01332D" u="1"/>
        <s v="02025A" u="1"/>
        <s v="01384I" u="1"/>
        <s v="00650A" u="1"/>
        <s v="00674K" u="1"/>
        <s v="06016" u="1"/>
        <s v="00123E" u="1"/>
        <s v="00676E" u="1"/>
        <s v="01370C" u="1"/>
        <s v="00905I" u="1"/>
        <s v="01388K" u="1"/>
        <s v="00166E" u="1"/>
        <s v="04901" u="1"/>
        <s v="00655C" u="1"/>
        <s v="01380B" u="1"/>
        <s v="00672D" u="1"/>
        <s v="00653C" u="1"/>
        <s v="01107I" u="1"/>
        <s v="00904" u="1"/>
        <s v="01384E" u="1"/>
        <s v="01335K" u="1"/>
        <s v="01375D" u="1"/>
        <s v="01382E" u="1"/>
        <s v="01378D" u="1"/>
        <s v="00810" u="1"/>
        <s v="00174" u="1"/>
        <s v="00386" u="1"/>
        <s v="01338E" u="1"/>
        <s v="00283" u="1"/>
        <s v="04211" u="1"/>
        <s v="09053B" u="1"/>
        <s v="00771" u="1"/>
        <s v="00136" u="1"/>
        <s v="00652A" u="1"/>
        <s v="01333C" u="1"/>
        <s v="00671A" u="1"/>
        <s v="01378E" u="1"/>
        <s v="01373D" u="1"/>
        <s v="00289" u="1"/>
        <s v="01331E" u="1"/>
        <s v="01114" u="1"/>
        <s v="00656D" u="1"/>
        <s v="01071" u="1"/>
        <s v="01384D" u="1"/>
        <s v="00804" u="1"/>
        <s v="01332G" u="1"/>
        <s v="00120A" u="1"/>
        <s v="00672E" u="1"/>
        <s v="00148L" u="1"/>
        <s v="00664B" u="1"/>
        <s v="30011" u="1"/>
        <s v="01382B" u="1"/>
        <s v="09090" u="1"/>
        <s v="00668A" u="1"/>
        <s v="01104" u="1"/>
        <s v="01380G" u="1"/>
        <s v="01106I" u="1"/>
        <s v="00903" u="1"/>
        <s v="00721E" u="1"/>
        <s v="00905" u="1"/>
        <s v="00653E" u="1"/>
        <s v="04750" u="1"/>
        <s v="00660E" u="1"/>
        <s v="00670D" u="1"/>
        <s v="01334D" u="1"/>
        <s v="01377D" u="1"/>
        <s v="00774" u="1"/>
        <s v="01383E" u="1"/>
        <s v="01123" u="1"/>
        <s v="00656A" u="1"/>
        <s v="06051" u="1"/>
        <s v="01373I" u="1"/>
        <s v="00678K" u="1"/>
        <s v="01332C" u="1"/>
        <s v="01371D" u="1"/>
        <s v="04753A" u="1"/>
        <s v="01372A" u="1"/>
        <s v="00656I" u="1"/>
        <s v="00664E" u="1"/>
        <s v="00168E" u="1"/>
        <s v="01333E" u="1"/>
        <s v="00656E" u="1"/>
        <s v="04050" u="1"/>
        <s v="04212" u="1"/>
        <s v="00664I" u="1"/>
        <s v="01335C" u="1"/>
        <s v="01070" u="1"/>
        <s v="00809I" u="1"/>
        <s v="82281A" u="1"/>
        <s v="C02655" u="1"/>
        <s v="02420" u="1"/>
        <s v="01382G" u="1"/>
        <s v="00813" u="1"/>
        <s v="00821" u="1"/>
        <s v="45535" u="1"/>
        <s v="00604" u="1"/>
        <s v="01333D" u="1"/>
        <s v="00385" u="1"/>
        <s v="01115" u="1"/>
        <s v="00676D" u="1"/>
        <s v="10037" u="1"/>
        <s v="01376D" u="1"/>
        <s v="00811" u="1"/>
        <s v="04756" u="1"/>
        <s v="01111" u="1"/>
        <s v="01337D" u="1"/>
        <s v="09022B" u="1"/>
        <s v="01339E" u="1"/>
        <s v="00660I" u="1"/>
        <s v="00666B" u="1"/>
        <s v="09230A" u="1"/>
        <s v="01120" u="1"/>
        <s v="00801" u="1"/>
        <s v="00906" u="1"/>
        <s v="00660K" u="1"/>
        <s v="01052" u="1"/>
        <s v="00778" u="1"/>
        <s v="C01111" u="1"/>
        <s v="00653D" u="1"/>
        <s v="01107" u="1"/>
        <s v="02053A" u="1"/>
        <s v="00907" u="1"/>
        <s v="01332A" u="1"/>
        <s v="00904I" u="1"/>
        <s v="01337K" u="1"/>
        <s v="00802" u="1"/>
        <s v="01380K" u="1"/>
        <s v="00655E" u="1"/>
        <s v="04101" u="1"/>
        <s v="C01117" u="1"/>
        <s v="06017" u="1"/>
        <s v="05016A" u="1"/>
        <s v="00387TE" u="1"/>
        <s v="09111C" u="1"/>
        <s v="01372C" u="1"/>
        <s v="00664K" u="1"/>
        <s v="01331C" u="1"/>
        <s v="00168" u="1"/>
        <s v="00654A" u="1"/>
        <s v="01382J" u="1"/>
        <s v="01388D" u="1"/>
        <s v="00824" u="1"/>
        <s v="01055" u="1"/>
        <s v="01334I" u="1"/>
        <s v="02029A" u="1"/>
        <s v="30053" u="1"/>
        <s v="00653L" u="1"/>
        <s v="01331I" u="1"/>
        <s v="01102I" u="1"/>
        <s v="00674C" u="1"/>
        <s v="03004" u="1"/>
        <s v="00385E" u="1"/>
        <s v="01374I" u="1"/>
        <s v="01056" u="1"/>
        <s v="00819" u="1"/>
        <s v="82281E" u="1"/>
        <s v="01373A" u="1"/>
        <s v="00808" u="1"/>
        <s v="00674E" u="1"/>
        <s v="02421" u="1"/>
        <s v="09093" u="1"/>
        <s v="00822" u="1"/>
        <s v="04751" u="1"/>
        <s v="00816" u="1"/>
        <s v="01054" u="1"/>
        <s v="C00805" u="1"/>
        <s v="00671C" u="1"/>
        <s v="03009" u="1"/>
        <s v="01381D" u="1"/>
        <s v="01105" u="1"/>
        <s v="03012" u="1"/>
        <s v="01389K" u="1"/>
        <s v="01332B" u="1"/>
        <s v="01110" u="1"/>
        <s v="C00809" u="1"/>
        <s v="00818I" u="1"/>
        <s v="00670L" u="1"/>
        <s v="01374E" u="1"/>
        <s v="04905" u="1"/>
        <s v="00141" u="1"/>
        <s v="01122" u="1"/>
        <s v="C00906" u="1"/>
        <s v="00410A" u="1"/>
        <s v="01330I" u="1"/>
        <s v="00388" u="1"/>
        <s v="01060" u="1"/>
        <s v="01381I" u="1"/>
        <s v="00655D" u="1"/>
        <s v="01379D" u="1"/>
        <s v="00605" u="1"/>
        <s v="00696" u="1"/>
        <s v="00672A" u="1"/>
        <s v="00162" u="1"/>
        <s v="00806" u="1"/>
        <s v="01375K" u="1"/>
        <s v="00803" u="1"/>
        <s v="00812" u="1"/>
        <s v="01384J" u="1"/>
        <s v="01333K" u="1"/>
        <s v="00961" u="1"/>
        <s v="02508" u="1"/>
        <s v="03319" u="1"/>
        <s v="00834" u="1"/>
        <s v="09240" u="1"/>
        <s v="03324" u="1"/>
        <s v="82281D" u="1"/>
        <s v="05001" u="1"/>
        <s v="02053I" u="1"/>
        <s v="45300" u="1"/>
        <s v="01105I" u="1"/>
        <s v="00671D" u="1"/>
        <s v="01375I" u="1"/>
        <s v="01002" u="1"/>
        <s v="01372I" u="1"/>
        <s v="00112E" u="1"/>
        <s v="00385EV" u="1"/>
        <s v="00650K" u="1"/>
        <s v="00820" u="1"/>
        <s v="01373G" u="1"/>
        <s v="04752A" u="1"/>
        <s v="02027A" u="1"/>
        <s v="05017A" u="1"/>
        <s v="02405A" u="1"/>
        <s v="00139E" u="1"/>
        <s v="00651K" u="1"/>
        <s v="04752" u="1"/>
        <s v="01335I" u="1"/>
        <s v="01331G" u="1"/>
        <s v="00829" u="1"/>
        <s v="01381G" u="1"/>
        <s v="00825" u="1"/>
        <s v="01332I" u="1"/>
        <s v="00807" u="1"/>
        <s v="01381A" u="1"/>
        <s v="05007" u="1"/>
        <s v="01330C" u="1"/>
        <s v="00901I" u="1"/>
        <s v="02504" u="1"/>
        <s v="01380J" u="1"/>
        <s v="00822I" u="1"/>
        <s v="03502" u="1"/>
        <s v="04781" u="1"/>
        <s v="00818" u="1"/>
        <s v="00660C" u="1"/>
        <s v="01338C" u="1"/>
        <s v="00837" u="1"/>
        <s v="01370D" u="1"/>
        <s v="02403A" u="1"/>
        <s v="05013A" u="1"/>
        <s v="00175" u="1"/>
        <s v="01050" u="1"/>
        <s v="00721EAF" u="1"/>
        <s v="01375J" u="1"/>
        <s v="09022C" u="1"/>
        <s v="01117" u="1"/>
        <s v="30085" u="1"/>
        <s v="00409A" u="1"/>
        <s v="00123" u="1"/>
        <s v="05008" u="1"/>
        <s v="00666E" u="1"/>
        <s v="05014A" u="1"/>
        <s v="09028" u="1"/>
        <s v="04224" u="1"/>
        <s v="00381" u="1"/>
        <s v="06042" u="1"/>
        <s v="00811I" u="1"/>
        <s v="09133" u="1"/>
        <s v="01338D" u="1"/>
        <s v="09226" u="1"/>
        <s v="01001" u="1"/>
        <s v="02025C" u="1"/>
        <s v="00701" u="1"/>
        <s v="06102" u="1"/>
        <s v="01370I" u="1"/>
        <s v="02072A" u="1"/>
        <s v="02053K" u="1"/>
        <s v="00780" u="1"/>
        <s v="04913" u="1"/>
        <s v="01070A" u="1"/>
        <s v="00126" u="1"/>
        <s v="02071A" u="1"/>
        <s v="00139EV" u="1"/>
        <s v="00112" u="1"/>
        <s v="00655K" u="1"/>
        <s v="30022" u="1"/>
        <s v="02411" u="1"/>
        <s v="00722EA" u="1"/>
        <s v="00833" u="1"/>
        <s v="00814" u="1"/>
        <s v="01374K" u="1"/>
        <s v="01339D" u="1"/>
        <s v="00965" u="1"/>
        <s v="01980I" u="1"/>
        <s v="04223" u="1"/>
        <s v="00170" u="1"/>
        <s v="02031" u="1"/>
        <s v="00659B" u="1"/>
        <s v="00832" u="1"/>
        <s v="09222" u="1"/>
        <s v="05009" u="1"/>
        <s v="06261" u="1"/>
        <s v="00903I" u="1"/>
        <s v="01124" u="1"/>
        <s v="01330A" u="1"/>
        <s v="01337I" u="1"/>
        <s v="01332K" u="1"/>
        <s v="00682B" u="1"/>
        <s v="04753" u="1"/>
        <s v="00387" u="1"/>
        <s v="00962" u="1"/>
        <s v="02673" u="1"/>
        <s v="09026" u="1"/>
        <s v="02070C" u="1"/>
        <s v="01119" u="1"/>
        <s v="01803" u="1"/>
        <s v="00664D" u="1"/>
        <s v="00813I" u="1"/>
        <s v="05012A" u="1"/>
        <s v="01334J" u="1"/>
        <s v="01333I" u="1"/>
        <s v="04054" u="1"/>
        <s v="00150E" u="1"/>
        <s v="01337A" u="1"/>
        <s v="01383K" u="1"/>
        <s v="02412" u="1"/>
        <s v="01335J" u="1"/>
        <s v="05002" u="1"/>
        <s v="00810I" u="1"/>
        <s v="02070B" u="1"/>
        <s v="09547D" u="1"/>
        <s v="01001I" u="1"/>
        <s v="02415" u="1"/>
        <s v="01339K" u="1"/>
        <s v="06010" u="1"/>
        <s v="09241" u="1"/>
        <s v="00705" u="1"/>
        <s v="09021B" u="1"/>
        <s v="00550" u="1"/>
        <s v="00823" u="1"/>
        <s v="00817" u="1"/>
        <s v="02028A" u="1"/>
        <s v="04236" u="1"/>
        <s v="03323" u="1"/>
        <s v="02073C" u="1"/>
        <s v="00721EF" u="1"/>
        <s v="00365F" u="1"/>
        <s v="00162F" u="1"/>
        <s v="00150F" u="1"/>
        <s v="00154F" u="1"/>
        <s v="00147L" u="1"/>
        <s v="02025B" u="1"/>
        <s v="00910" u="1"/>
        <s v="09231" u="1"/>
        <s v="04780" u="1"/>
        <s v="01370G" u="1"/>
        <s v="00831" u="1"/>
        <s v="09071" u="1"/>
        <s v="06009" u="1"/>
        <s v="30129" u="1"/>
        <s v="05005" u="1"/>
        <s v="05003" u="1"/>
        <s v="09060" u="1"/>
        <s v="00501" u="1"/>
        <s v="04757" u="1"/>
        <s v="03142I" u="1"/>
        <s v="01002I" u="1"/>
        <s v="00771C" u="1"/>
        <s v="10822" u="1"/>
        <s v="C01101" u="1"/>
        <s v="02071C" u="1"/>
        <s v="01374J" u="1"/>
        <s v="01333J" u="1"/>
        <s v="04264I" u="1"/>
        <s v="45528" u="1"/>
        <s v="06019" u="1"/>
        <s v="00672L" u="1"/>
        <s v="01374G" u="1"/>
        <s v="04059" u="1"/>
        <s v="03223" u="1"/>
        <s v="03193I" u="1"/>
        <s v="10951" u="1"/>
        <s v="09039" u="1"/>
        <s v="00909" u="1"/>
        <s v="00828" u="1"/>
        <s v="06045" u="1"/>
        <s v="03504" u="1"/>
        <s v="00678E" u="1"/>
        <s v="03198I" u="1"/>
        <s v="00704" u="1"/>
        <s v="02025D" u="1"/>
        <s v="00220" u="1"/>
        <s v="10569" u="1"/>
        <s v="02025H" u="1"/>
        <s v="02076A" u="1"/>
        <s v="02025E" u="1"/>
        <s v="00139" u="1"/>
        <s v="09132" u="1"/>
        <s v="06260" u="1"/>
        <s v="00538" u="1"/>
        <s v="09506D" u="1"/>
        <s v="00176" u="1"/>
        <s v="00660D" u="1"/>
        <s v="01333A" u="1"/>
        <s v="01337J" u="1"/>
        <s v="03008" u="1"/>
        <s v="06815" u="1"/>
        <s v="03001" u="1"/>
        <s v="10618" u="1"/>
        <s v="00720EA" u="1"/>
        <s v="00967" u="1"/>
        <s v="09111E" u="1"/>
        <s v="02554" u="1"/>
        <s v="00964" u="1"/>
        <s v="09243" u="1"/>
        <s v="02616" u="1"/>
        <s v="45324" u="1"/>
        <s v="00714" u="1"/>
        <s v="00721EA" u="1"/>
        <s v="09034" u="1"/>
        <s v="02071D" u="1"/>
        <s v="02614" u="1"/>
        <s v="02525" u="1"/>
        <s v="00697" u="1"/>
        <s v="00225" u="1"/>
        <s v="03801" u="1"/>
        <s v="01331D" u="1"/>
        <s v="06262" u="1"/>
        <s v="00284E" u="1"/>
        <s v="03320" u="1"/>
        <s v="09113B" u="1"/>
        <s v="04060" u="1"/>
        <s v="04053" u="1"/>
        <s v="01372D" u="1"/>
        <s v="02578" u="1"/>
        <s v="01339C" u="1"/>
        <s v="06107" u="1"/>
        <s v="00655A" u="1"/>
        <s v="11152" u="1"/>
        <s v="01334A" u="1"/>
        <s v="02057A" u="1"/>
        <s v="02060A" u="1"/>
        <s v="00408A" u="1"/>
        <s v="02548A" u="1"/>
        <s v="00286" u="1"/>
        <s v="04262I" u="1"/>
        <s v="04051" u="1"/>
        <s v="02076C" u="1"/>
        <s v="09060I" u="1"/>
        <s v="02072C" u="1"/>
        <s v="02665" u="1"/>
        <s v="00121" u="1"/>
        <s v="00503" u="1"/>
        <s v="04263" u="1"/>
        <s v="30021" u="1"/>
        <s v="03153I" u="1"/>
        <s v="09151" u="1"/>
        <s v="09050B" u="1"/>
        <s v="02509A" u="1"/>
        <s v="03197I" u="1"/>
        <s v="02074A" u="1"/>
        <s v="45304" u="1"/>
        <s v="06640" u="1"/>
        <s v="06037" u="1"/>
        <s v="02030" u="1"/>
        <s v="03010" u="1"/>
        <s v="02485" u="1"/>
        <s v="00838" u="1"/>
        <s v="03152I" u="1"/>
        <s v="02041A" u="1"/>
        <s v="01109" u="1"/>
        <s v="01059" u="1"/>
        <s v="01058" u="1"/>
        <s v="01057" u="1"/>
        <s v="00770C" u="1"/>
        <s v="00400" u="1"/>
        <s v="00668J" u="1"/>
        <s v="01330G" u="1"/>
        <s v="06038" u="1"/>
        <s v="45099" u="1"/>
        <s v="02544" u="1"/>
        <s v="06025" u="1"/>
        <s v="04056" u="1"/>
        <s v="02556A" u="1"/>
        <s v="03122I" u="1"/>
        <s v="06861" u="1"/>
        <s v="03144I" u="1"/>
        <s v="02583" u="1"/>
        <s v="02032" u="1"/>
        <s v="09040" u="1"/>
        <s v="06108" u="1"/>
        <s v="02064A" u="1"/>
        <s v="02070A" u="1"/>
        <s v="00137" u="1"/>
        <s v="00830" u="1"/>
        <s v="00706" u="1"/>
        <s v="06111" u="1"/>
        <s v="05015A" u="1"/>
        <s v="01331J" u="1"/>
        <s v="09070B" u="1"/>
        <s v="00826" u="1"/>
        <s v="01114I" u="1"/>
        <s v="02078C" u="1"/>
        <s v="05011A" u="1"/>
        <s v="45302" u="1"/>
        <s v="04102" u="1"/>
        <s v="02067C" u="1"/>
        <s v="02064C" u="1"/>
        <s v="09209" u="1"/>
        <s v="09507D" u="1"/>
        <s v="03501" u="1"/>
        <s v="06018" u="1"/>
        <s v="02036A" u="1"/>
        <s v="02070D" u="1"/>
        <s v="02041" u="1"/>
        <s v="00775" u="1"/>
        <s v="00642" u="1"/>
        <s v="05117" u="1"/>
        <s v="06805" u="1"/>
        <s v="02076F" u="1"/>
        <s v="00720ERF" u="1"/>
        <s v="00607A" u="1"/>
        <s v="03222" u="1"/>
        <s v="02580A" u="1"/>
        <s v="09134" u="1"/>
        <s v="00154RF" u="1"/>
        <s v="00835" u="1"/>
        <s v="06860" u="1"/>
        <s v="05704A" u="1"/>
        <s v="03137I" u="1"/>
        <s v="02027B" u="1"/>
        <s v="00666C" u="1"/>
        <s v="00285" u="1"/>
        <s v="06015" u="1"/>
        <s v="03121I" u="1"/>
        <s v="00505" u="1"/>
        <s v="01121" u="1"/>
        <s v="03338" u="1"/>
        <s v="04061" u="1"/>
        <s v="09229" u="1"/>
        <s v="00830I" u="1"/>
        <s v="04235" u="1"/>
        <s v="01364I" u="1"/>
        <s v="02661" u="1"/>
        <s v="90007" u="1"/>
        <s v="01338K" u="1"/>
        <s v="45325I" u="1"/>
        <s v="00409" u="1"/>
        <s v="45601I" u="1"/>
        <s v="45603I" u="1"/>
        <s v="03506" u="1"/>
        <s v="03138I" u="1"/>
        <s v="00644" u="1"/>
        <s v="02027H" u="1"/>
        <s v="09214" u="1"/>
        <s v="00664C" u="1"/>
        <s v="09154" u="1"/>
        <s v="05119" u="1"/>
        <s v="02610" u="1"/>
        <s v="02073F" u="1"/>
        <s v="00778C" u="1"/>
        <s v="00698" u="1"/>
        <s v="02078A" u="1"/>
        <s v="00721ERF" u="1"/>
        <s v="02074C" u="1"/>
        <s v="00162E" u="1"/>
        <s v="02519" u="1"/>
        <s v="02556" u="1"/>
        <s v="09227" u="1"/>
        <s v="09070A" u="1"/>
        <s v="03321" u="1"/>
        <s v="02076D" u="1"/>
        <s v="02074D" u="1"/>
        <s v="90006" u="1"/>
        <s v="00187" u="1"/>
        <s v="00156" u="1"/>
        <s v="45526" u="1"/>
        <s v="05701A" u="1"/>
        <s v="03140I" u="1"/>
        <s v="09153" u="1"/>
        <s v="02037A" u="1"/>
        <s v="02072D" u="1"/>
        <s v="45319" u="1"/>
        <s v="09022A" u="1"/>
        <s v="06103" u="1"/>
        <s v="09072" u="1"/>
        <s v="01388L" u="1"/>
        <s v="30001" u="1"/>
        <s v="00902I" u="1"/>
        <s v="02485F" u="1"/>
        <s v="00702" u="1"/>
        <s v="45703" u="1"/>
        <s v="09200" u="1"/>
        <s v="02079A" u="1"/>
        <s v="06109" u="1"/>
        <s v="03343" u="1"/>
        <s v="03339" u="1"/>
        <s v="02055C" u="1"/>
        <s v="02042A" u="1"/>
        <s v="03005" u="1"/>
        <s v="01371" u="1"/>
        <s v="01374C" u="1"/>
        <s v="45300A" u="1"/>
        <s v="06011" u="1"/>
        <s v="09400" u="1"/>
        <s v="00152" u="1"/>
        <s v="30032" u="1"/>
        <s v="45301" u="1"/>
        <s v="02682" u="1"/>
        <s v="05702A" u="1"/>
        <s v="03224" u="1"/>
        <s v="09051C" u="1"/>
        <s v="02040" u="1"/>
        <s v="00640" u="1"/>
        <s v="01332J" u="1"/>
        <s v="09217" u="1"/>
        <s v="00963" u="1"/>
        <s v="00221" u="1"/>
        <s v="04303" u="1"/>
        <s v="06043" u="1"/>
        <s v="00960" u="1"/>
        <s v="00770B" u="1"/>
        <s v="00778B" u="1"/>
        <s v="00782B" u="1"/>
        <s v="01362I" u="1"/>
        <s v="00141E" u="1"/>
        <s v="00162RF" u="1"/>
        <s v="00674D" u="1"/>
        <s v="06823" u="1"/>
        <s v="02079C" u="1"/>
        <s v="02548" u="1"/>
        <s v="02070F" u="1"/>
        <s v="01365I" u="1"/>
        <s v="00643" u="1"/>
        <s v="C00804" u="1"/>
        <s v="02580" u="1"/>
        <s v="00566" u="1"/>
        <s v="03199I" u="1"/>
        <s v="06806" u="1"/>
        <s v="03322" u="1"/>
        <s v="05703A" u="1"/>
        <s v="03334" u="1"/>
        <s v="02623" u="1"/>
        <s v="02064F" u="1"/>
        <s v="02509" u="1"/>
        <s v="04052" u="1"/>
        <s v="04220" u="1"/>
        <s v="02071F" u="1"/>
        <s v="01363I" u="1"/>
        <s v="02057C" u="1"/>
        <s v="00563" u="1"/>
        <s v="00186" u="1"/>
        <s v="01368I" u="1"/>
        <s v="00709" u="1"/>
        <s v="01366I" u="1"/>
        <s v="45007" u="1"/>
        <s v="05901" u="1"/>
        <s v="00821I" u="1"/>
        <s v="45303" u="1"/>
        <s v="00185" u="1"/>
        <s v="00641" u="1"/>
        <s v="03209I" u="1"/>
        <s v="06003" u="1"/>
        <s v="09224" u="1"/>
        <s v="03154I" u="1"/>
        <s v="03141I" u="1"/>
        <s v="01367I" u="1"/>
        <s v="00712" u="1"/>
        <s v="00645" u="1"/>
        <s v="06014" u="1"/>
        <s v="03333" u="1"/>
        <s v="00782C" u="1"/>
        <s v="04305" u="1"/>
        <s v="03301" u="1"/>
        <s v="09223" u="1"/>
        <s v="09225" u="1"/>
        <s v="45600I" u="1"/>
        <s v="03302" u="1"/>
        <s v="02073B" u="1"/>
        <s v="02575" u="1"/>
        <s v="00188" u="1"/>
        <s v="03238" u="1"/>
        <s v="03143I" u="1"/>
        <s v="02060C" u="1"/>
        <s v="01154" u="1"/>
        <s v="01153" u="1"/>
        <s v="01155" u="1"/>
        <s v="04209" u="1"/>
        <s v="04262" u="1"/>
        <s v="05122" u="1"/>
        <s v="03342" u="1"/>
        <s v="02668" u="1"/>
        <s v="03194I" u="1"/>
        <s v="02078D" u="1"/>
        <s v="02079F" u="1"/>
        <s v="02661F" u="1"/>
        <s v="02074F" u="1"/>
        <s v="00281" u="1"/>
        <s v="00366" u="1"/>
        <s v="00568" u="1"/>
        <s v="09214A" u="1"/>
        <s v="02078F" u="1"/>
        <s v="01152" u="1"/>
        <s v="00562" u="1"/>
        <s v="03221I" u="1"/>
        <s v="06123" u="1"/>
        <s v="02044A" u="1"/>
        <s v="03191I" u="1"/>
        <s v="01373" u="1"/>
        <s v="09216I" u="1"/>
        <s v="09208" u="1"/>
        <s v="06111A" u="1"/>
        <s v="03318" u="1"/>
        <s v="09523D" u="1"/>
        <s v="03306" u="1"/>
        <s v="30019" u="1"/>
        <s v="09024B" u="1"/>
        <s v="03317" u="1"/>
        <s v="02517" u="1"/>
        <s v="01360I" u="1"/>
        <s v="09101B" u="1"/>
        <s v="04104" u="1"/>
        <s v="02574" u="1"/>
        <s v="00172" u="1"/>
        <s v="00126E" u="1"/>
        <s v="06101" u="1"/>
        <s v="09211" u="1"/>
        <s v="02073E" u="1"/>
        <s v="05015" u="1"/>
        <s v="01817" u="1"/>
        <s v="09222I" u="1"/>
        <s v="03305" u="1"/>
        <s v="02043A" u="1"/>
        <s v="01156" u="1"/>
        <s v="00800A" u="1"/>
        <s v="45701" u="1"/>
        <s v="00572" u="1"/>
        <s v="00565" u="1"/>
        <s v="45006" u="1"/>
        <s v="03307" u="1"/>
        <s v="03505" u="1"/>
        <s v="00381E" u="1"/>
        <s v="09541D" u="1"/>
        <s v="04001" u="1"/>
        <s v="45602I" u="1"/>
        <s v="03325" u="1"/>
        <s v="09216" u="1"/>
        <s v="03192I" u="1"/>
        <s v="02560" u="1"/>
        <s v="02067F" u="1"/>
        <s v="02060D" u="1"/>
        <s v="02042" u="1"/>
        <s v="02583A" u="1"/>
        <s v="02609" u="1"/>
        <s v="00966" u="1"/>
        <s v="09210" u="1"/>
        <s v="09060E" u="1"/>
        <s v="09216A" u="1"/>
        <s v="03340" u="1"/>
        <s v="06121" u="1"/>
        <s v="01514" u="1"/>
        <s v="02057F" u="1"/>
        <s v="00170E" u="1"/>
        <s v="00560" u="1"/>
        <s v="00189" u="1"/>
        <s v="04057" u="1"/>
        <s v="03200I" u="1"/>
        <s v="04055" u="1"/>
        <s v="04213" u="1"/>
        <s v="03311" u="1"/>
        <s v="09021A" u="1"/>
        <s v="03237" u="1"/>
        <s v="03335" u="1"/>
        <s v="03341" u="1"/>
        <s v="09555D" u="1"/>
        <s v="02045A" u="1"/>
        <s v="02069A" u="1"/>
        <s v="02072F" u="1"/>
        <s v="01517" u="1"/>
        <s v="01501" u="1"/>
        <s v="02057D" u="1"/>
        <s v="02059C" u="1"/>
        <s v="00710" u="1"/>
        <s v="00571" u="1"/>
        <s v="00223" u="1"/>
        <s v="00567" u="1"/>
        <s v="00570" u="1"/>
        <s v="00564" u="1"/>
        <s v="90488" u="1"/>
        <s v="06110" u="1"/>
        <s v="06125" u="1"/>
        <s v="06002" u="1"/>
        <s v="09550D" u="1"/>
        <s v="09215" u="1"/>
        <s v="03225" u="1"/>
        <s v="06122" u="1"/>
        <s v="01919" u="1"/>
        <s v="01506" u="1"/>
        <s v="02613" u="1"/>
        <s v="03139I" u="1"/>
        <s v="02586" u="1"/>
        <s v="02046A" u="1"/>
        <s v="30078" u="1"/>
        <s v="90010" u="1"/>
        <s v="09221" u="1"/>
        <s v="09120B" u="1"/>
        <s v="03326" u="1"/>
        <s v="09218" u="1"/>
        <s v="03310" u="1"/>
        <s v="09220A" u="1"/>
        <s v="06111B" u="1"/>
        <s v="03103" u="1"/>
        <s v="01805" u="1"/>
        <s v="02066A" u="1"/>
        <s v="02059F" u="1"/>
        <s v="02577" u="1"/>
        <s v="01921" u="1"/>
        <s v="00172E" u="1"/>
        <s v="45702" u="1"/>
        <s v="00550A" u="1"/>
        <s v="00224" u="1"/>
        <s v="00138E" u="1"/>
        <s v="06124" u="1"/>
        <s v="06120" u="1"/>
        <s v="09215A" u="1"/>
        <s v="06102B" u="1"/>
        <s v="09203" u="1"/>
        <s v="02617" u="1"/>
        <s v="01507" u="1"/>
        <s v="03127" u="1"/>
        <s v="02035A" u="1"/>
        <s v="02583I" u="1"/>
        <s v="02064D" u="1"/>
        <s v="01246" u="1"/>
        <s v="01359I" u="1"/>
        <s v="01307" u="1"/>
        <s v="01311" u="1"/>
        <s v="01306" u="1"/>
        <s v="01308" u="1"/>
        <s v="30057" u="1"/>
        <s v="90419" u="1"/>
        <s v="90026" u="1"/>
        <s v="00366E" u="1"/>
        <s v="45156" u="1"/>
        <s v="80707" u="1"/>
        <s v="90420" u="1"/>
        <s v="80768" u="1"/>
        <s v="80054" u="1"/>
        <s v="45700" u="1"/>
        <s v="80290" u="1"/>
        <s v="05801" u="1"/>
        <s v="PRODUTO A" u="1"/>
        <s v="PRODUTO B" u="1"/>
        <s v="PRODUTO C" u="1"/>
      </sharedItems>
    </cacheField>
    <cacheField name="Descrição" numFmtId="49"/>
    <cacheField name="Data" numFmtId="58">
      <sharedItems containsSemiMixedTypes="0" containsString="0" containsNonDate="0" containsDate="1" minDate="2023-07-29T00:00:00" maxDate="2025-09-30T00:00:00" count="301"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3-07-29T00:00:00" u="1"/>
        <d v="2023-07-30T00:00:00" u="1"/>
        <d v="2023-07-31T00:00:00" u="1"/>
        <d v="2023-08-01T00:00:00" u="1"/>
        <d v="2023-08-02T00:00:00" u="1"/>
        <d v="2023-08-03T00:00:00" u="1"/>
        <d v="2023-08-04T00:00:00" u="1"/>
        <d v="2023-08-05T00:00:00" u="1"/>
        <d v="2023-08-06T00:00:00" u="1"/>
        <d v="2023-08-07T00:00:00" u="1"/>
        <d v="2023-08-08T00:00:00" u="1"/>
        <d v="2023-08-09T00:00:00" u="1"/>
        <d v="2023-08-10T00:00:00" u="1"/>
        <d v="2023-08-11T00:00:00" u="1"/>
        <d v="2023-08-12T00:00:00" u="1"/>
        <d v="2023-08-13T00:00:00" u="1"/>
        <d v="2023-08-14T00:00:00" u="1"/>
        <d v="2023-08-15T00:00:00" u="1"/>
        <d v="2023-08-16T00:00:00" u="1"/>
        <d v="2023-08-17T00:00:00" u="1"/>
        <d v="2023-08-18T00:00:00" u="1"/>
        <d v="2023-08-19T00:00:00" u="1"/>
        <d v="2023-08-20T00:00:00" u="1"/>
        <d v="2023-08-21T00:00:00" u="1"/>
        <d v="2023-08-22T00:00:00" u="1"/>
        <d v="2023-08-23T00:00:00" u="1"/>
        <d v="2023-08-24T00:00:00" u="1"/>
        <d v="2023-08-25T00:00:00" u="1"/>
        <d v="2023-08-26T00:00:00" u="1"/>
        <d v="2023-08-27T00:00:00" u="1"/>
        <d v="2023-08-28T00:00:00" u="1"/>
        <d v="2023-08-29T00:00:00" u="1"/>
        <d v="2023-08-30T00:00:00" u="1"/>
        <d v="2023-08-31T00:00:00" u="1"/>
        <d v="2023-09-01T00:00:00" u="1"/>
        <d v="2023-09-02T00:00:00" u="1"/>
        <d v="2023-09-03T00:00:00" u="1"/>
        <d v="2023-09-04T00:00:00" u="1"/>
        <d v="2023-09-05T00:00:00" u="1"/>
        <d v="2023-09-06T00:00:00" u="1"/>
        <d v="2023-09-07T00:00:00" u="1"/>
        <d v="2023-09-08T00:00:00" u="1"/>
        <d v="2023-09-09T00:00:00" u="1"/>
        <d v="2023-09-10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9-21T00:00:00" u="1"/>
        <d v="2023-09-22T00:00:00" u="1"/>
        <d v="2023-09-23T00:00:00" u="1"/>
        <d v="2023-09-24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3-10-01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1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8T00:00:00" u="1"/>
        <d v="2023-10-29T00:00:00" u="1"/>
        <d v="2023-10-30T00:00:00" u="1"/>
        <d v="2023-10-31T00:00:00" u="1"/>
        <d v="2023-11-01T00:00:00" u="1"/>
        <d v="2023-11-02T00:00:00" u="1"/>
        <d v="2023-11-03T00:00:00" u="1"/>
        <d v="2023-11-04T00:00:00" u="1"/>
        <d v="2023-11-05T00:00:00" u="1"/>
        <d v="2023-11-06T00:00:00" u="1"/>
        <d v="2023-11-07T00:00:00" u="1"/>
        <d v="2023-11-08T00:00:00" u="1"/>
        <d v="2023-11-09T00:00:00" u="1"/>
        <d v="2023-11-10T00:00:00" u="1"/>
        <d v="2023-11-11T00:00:00" u="1"/>
        <d v="2023-11-12T00:00:00" u="1"/>
        <d v="2023-11-13T00:00:00" u="1"/>
        <d v="2023-11-14T00:00:00" u="1"/>
        <d v="2023-11-15T00:00:00" u="1"/>
        <d v="2023-11-16T00:00:00" u="1"/>
        <d v="2023-11-17T00:00:00" u="1"/>
      </sharedItems>
    </cacheField>
    <cacheField name="Saída / Demanda" numFmtId="4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9">
  <r>
    <x v="0"/>
    <s v="TELHA GALVALUME TP 40 0,43MM"/>
    <x v="0"/>
    <n v="80.5"/>
  </r>
  <r>
    <x v="1"/>
    <s v="TELHA GALVALUME TP 40 0,43MM 4,00M"/>
    <x v="0"/>
    <n v="62"/>
  </r>
  <r>
    <x v="2"/>
    <s v="TELHA GALVALUME TP 40 0,43MM 6,00M"/>
    <x v="0"/>
    <n v="35"/>
  </r>
  <r>
    <x v="3"/>
    <s v="TELHA GALVALUME TP 40 0,43MM 3,00M"/>
    <x v="0"/>
    <n v="15"/>
  </r>
  <r>
    <x v="4"/>
    <s v="TELHA GALVALUME TP 40 0,43MM 5,00M"/>
    <x v="0"/>
    <n v="14"/>
  </r>
  <r>
    <x v="5"/>
    <s v="TELHA GALVALUME OND 17 0,43MM 5,00M"/>
    <x v="0"/>
    <n v="1"/>
  </r>
  <r>
    <x v="0"/>
    <s v="TELHA GALVALUME TP 40 0,43MM"/>
    <x v="1"/>
    <n v="83.6"/>
  </r>
  <r>
    <x v="4"/>
    <s v="TELHA GALVALUME TP 40 0,43MM 5,00M"/>
    <x v="1"/>
    <n v="62"/>
  </r>
  <r>
    <x v="6"/>
    <s v="TELHA GALVALUME TP 40 0,43MM 7,00M"/>
    <x v="1"/>
    <n v="45"/>
  </r>
  <r>
    <x v="7"/>
    <s v="TELHA GALVALUME OND 17 0,43MM 4,00M"/>
    <x v="1"/>
    <n v="28"/>
  </r>
  <r>
    <x v="1"/>
    <s v="TELHA GALVALUME TP 40 0,43MM 4,00M"/>
    <x v="1"/>
    <n v="26"/>
  </r>
  <r>
    <x v="2"/>
    <s v="TELHA GALVALUME TP 40 0,43MM 6,00M"/>
    <x v="1"/>
    <n v="24"/>
  </r>
  <r>
    <x v="3"/>
    <s v="TELHA GALVALUME TP 40 0,43MM 3,00M"/>
    <x v="1"/>
    <n v="17"/>
  </r>
  <r>
    <x v="5"/>
    <s v="TELHA GALVALUME OND 17 0,43MM 5,00M"/>
    <x v="1"/>
    <n v="14"/>
  </r>
  <r>
    <x v="3"/>
    <s v="TELHA GALVALUME TP 40 0,43MM 3,00M"/>
    <x v="2"/>
    <n v="132"/>
  </r>
  <r>
    <x v="0"/>
    <s v="TELHA GALVALUME TP 40 0,43MM"/>
    <x v="2"/>
    <n v="117"/>
  </r>
  <r>
    <x v="2"/>
    <s v="TELHA GALVALUME TP 40 0,43MM 6,00M"/>
    <x v="2"/>
    <n v="96"/>
  </r>
  <r>
    <x v="1"/>
    <s v="TELHA GALVALUME TP 40 0,43MM 4,00M"/>
    <x v="2"/>
    <n v="86"/>
  </r>
  <r>
    <x v="7"/>
    <s v="TELHA GALVALUME OND 17 0,43MM 4,00M"/>
    <x v="2"/>
    <n v="45"/>
  </r>
  <r>
    <x v="8"/>
    <s v="TELHA GALVALUME OND 17 0,43MM 7,00M"/>
    <x v="2"/>
    <n v="29"/>
  </r>
  <r>
    <x v="9"/>
    <s v="TELHA GALVALUME OND 17 0,43MM 3,00M"/>
    <x v="2"/>
    <n v="27"/>
  </r>
  <r>
    <x v="5"/>
    <s v="TELHA GALVALUME OND 17 0,43MM 5,00M"/>
    <x v="2"/>
    <n v="26"/>
  </r>
  <r>
    <x v="4"/>
    <s v="TELHA GALVALUME TP 40 0,43MM 5,00M"/>
    <x v="2"/>
    <n v="25"/>
  </r>
  <r>
    <x v="10"/>
    <s v="TELHA GALVALUME OND 17 0,43MM 6,00M"/>
    <x v="2"/>
    <n v="20"/>
  </r>
  <r>
    <x v="11"/>
    <s v="TELHA CUMEEIRA GL TRAP 40 ABAS 400MM"/>
    <x v="2"/>
    <n v="13"/>
  </r>
  <r>
    <x v="6"/>
    <s v="TELHA GALVALUME TP 40 0,43MM 7,00M"/>
    <x v="2"/>
    <n v="9"/>
  </r>
  <r>
    <x v="12"/>
    <s v="TELHA GALVALUME OND 17 0,43MM 5,00M"/>
    <x v="2"/>
    <n v="6"/>
  </r>
  <r>
    <x v="13"/>
    <s v="TELHA GALVALUME OND 17 0,43MM 4,00M"/>
    <x v="2"/>
    <n v="6"/>
  </r>
  <r>
    <x v="14"/>
    <s v="TELHA GALVALUME OND 17 0,43MM 6,00M"/>
    <x v="2"/>
    <n v="1"/>
  </r>
  <r>
    <x v="15"/>
    <s v="TELHA GALVALUME OND 17 0,43MM"/>
    <x v="3"/>
    <n v="1815.0000000000002"/>
  </r>
  <r>
    <x v="0"/>
    <s v="TELHA GALVALUME TP 40 0,43MM"/>
    <x v="3"/>
    <n v="957.6"/>
  </r>
  <r>
    <x v="4"/>
    <s v="TELHA GALVALUME TP 40 0,43MM 5,00M"/>
    <x v="3"/>
    <n v="128"/>
  </r>
  <r>
    <x v="2"/>
    <s v="TELHA GALVALUME TP 40 0,43MM 6,00M"/>
    <x v="3"/>
    <n v="126"/>
  </r>
  <r>
    <x v="16"/>
    <s v="TELHA GALVALUME OND 17 0,43MM 8,00M"/>
    <x v="3"/>
    <n v="86"/>
  </r>
  <r>
    <x v="17"/>
    <s v="TELHA CUMEEIRA GL TRAP 40 ABAS 300MM"/>
    <x v="3"/>
    <n v="58"/>
  </r>
  <r>
    <x v="6"/>
    <s v="TELHA GALVALUME TP 40 0,43MM 7,00M"/>
    <x v="3"/>
    <n v="46"/>
  </r>
  <r>
    <x v="3"/>
    <s v="TELHA GALVALUME TP 40 0,43MM 3,00M"/>
    <x v="3"/>
    <n v="36"/>
  </r>
  <r>
    <x v="1"/>
    <s v="TELHA GALVALUME TP 40 0,43MM 4,00M"/>
    <x v="3"/>
    <n v="28"/>
  </r>
  <r>
    <x v="15"/>
    <s v="TELHA GALVALUME OND 17 0,43MM"/>
    <x v="4"/>
    <n v="115.5"/>
  </r>
  <r>
    <x v="1"/>
    <s v="TELHA GALVALUME TP 40 0,43MM 4,00M"/>
    <x v="4"/>
    <n v="54"/>
  </r>
  <r>
    <x v="2"/>
    <s v="TELHA GALVALUME TP 40 0,43MM 6,00M"/>
    <x v="4"/>
    <n v="35"/>
  </r>
  <r>
    <x v="3"/>
    <s v="TELHA GALVALUME TP 40 0,43MM 3,00M"/>
    <x v="4"/>
    <n v="34"/>
  </r>
  <r>
    <x v="4"/>
    <s v="TELHA GALVALUME TP 40 0,43MM 5,00M"/>
    <x v="4"/>
    <n v="7"/>
  </r>
  <r>
    <x v="6"/>
    <s v="TELHA GALVALUME TP 40 0,43MM 7,00M"/>
    <x v="4"/>
    <n v="5"/>
  </r>
  <r>
    <x v="18"/>
    <s v="TELHA GALVALUME TP 40 0,43MM 8,00M"/>
    <x v="4"/>
    <n v="4"/>
  </r>
  <r>
    <x v="14"/>
    <s v="TELHA GALVALUME OND 17 0,43MM 6,00M"/>
    <x v="4"/>
    <n v="3"/>
  </r>
  <r>
    <x v="9"/>
    <s v="TELHA GALVALUME OND 17 0,43MM 3,00M"/>
    <x v="4"/>
    <n v="3"/>
  </r>
  <r>
    <x v="0"/>
    <s v="TELHA GALVALUME TP 40 0,43MM"/>
    <x v="5"/>
    <n v="950.3"/>
  </r>
  <r>
    <x v="2"/>
    <s v="TELHA GALVALUME TP 40 0,43MM 6,00M"/>
    <x v="5"/>
    <n v="226"/>
  </r>
  <r>
    <x v="1"/>
    <s v="TELHA GALVALUME TP 40 0,43MM 4,00M"/>
    <x v="5"/>
    <n v="222"/>
  </r>
  <r>
    <x v="6"/>
    <s v="TELHA GALVALUME TP 40 0,43MM 7,00M"/>
    <x v="5"/>
    <n v="167"/>
  </r>
  <r>
    <x v="4"/>
    <s v="TELHA GALVALUME TP 40 0,43MM 5,00M"/>
    <x v="5"/>
    <n v="121"/>
  </r>
  <r>
    <x v="3"/>
    <s v="TELHA GALVALUME TP 40 0,43MM 3,00M"/>
    <x v="5"/>
    <n v="104"/>
  </r>
  <r>
    <x v="7"/>
    <s v="TELHA GALVALUME OND 17 0,43MM 4,00M"/>
    <x v="5"/>
    <n v="20"/>
  </r>
  <r>
    <x v="0"/>
    <s v="TELHA GALVALUME TP 40 0,43MM"/>
    <x v="6"/>
    <n v="551.1"/>
  </r>
  <r>
    <x v="2"/>
    <s v="TELHA GALVALUME TP 40 0,43MM 6,00M"/>
    <x v="6"/>
    <n v="106"/>
  </r>
  <r>
    <x v="6"/>
    <s v="TELHA GALVALUME TP 40 0,43MM 7,00M"/>
    <x v="6"/>
    <n v="95"/>
  </r>
  <r>
    <x v="4"/>
    <s v="TELHA GALVALUME TP 40 0,43MM 5,00M"/>
    <x v="6"/>
    <n v="75"/>
  </r>
  <r>
    <x v="17"/>
    <s v="TELHA CUMEEIRA GL TRAP 40 ABAS 300MM"/>
    <x v="6"/>
    <n v="62"/>
  </r>
  <r>
    <x v="18"/>
    <s v="TELHA GALVALUME TP 40 0,43MM 8,00M"/>
    <x v="6"/>
    <n v="58"/>
  </r>
  <r>
    <x v="1"/>
    <s v="TELHA GALVALUME TP 40 0,43MM 4,00M"/>
    <x v="6"/>
    <n v="43"/>
  </r>
  <r>
    <x v="3"/>
    <s v="TELHA GALVALUME TP 40 0,43MM 3,00M"/>
    <x v="6"/>
    <n v="28"/>
  </r>
  <r>
    <x v="10"/>
    <s v="TELHA GALVALUME OND 17 0,43MM 6,00M"/>
    <x v="6"/>
    <n v="20"/>
  </r>
  <r>
    <x v="8"/>
    <s v="TELHA GALVALUME OND 17 0,43MM 7,00M"/>
    <x v="6"/>
    <n v="8"/>
  </r>
  <r>
    <x v="0"/>
    <s v="TELHA GALVALUME TP 40 0,43MM"/>
    <x v="7"/>
    <n v="905.2"/>
  </r>
  <r>
    <x v="2"/>
    <s v="TELHA GALVALUME TP 40 0,43MM 6,00M"/>
    <x v="7"/>
    <n v="268"/>
  </r>
  <r>
    <x v="4"/>
    <s v="TELHA GALVALUME TP 40 0,43MM 5,00M"/>
    <x v="7"/>
    <n v="197"/>
  </r>
  <r>
    <x v="6"/>
    <s v="TELHA GALVALUME TP 40 0,43MM 7,00M"/>
    <x v="7"/>
    <n v="128"/>
  </r>
  <r>
    <x v="1"/>
    <s v="TELHA GALVALUME TP 40 0,43MM 4,00M"/>
    <x v="7"/>
    <n v="86"/>
  </r>
  <r>
    <x v="18"/>
    <s v="TELHA GALVALUME TP 40 0,43MM 8,00M"/>
    <x v="7"/>
    <n v="65"/>
  </r>
  <r>
    <x v="17"/>
    <s v="TELHA CUMEEIRA GL TRAP 40 ABAS 300MM"/>
    <x v="7"/>
    <n v="14"/>
  </r>
  <r>
    <x v="3"/>
    <s v="TELHA GALVALUME TP 40 0,43MM 3,00M"/>
    <x v="7"/>
    <n v="4"/>
  </r>
  <r>
    <x v="10"/>
    <s v="TELHA GALVALUME OND 17 0,43MM 6,00M"/>
    <x v="7"/>
    <n v="1"/>
  </r>
  <r>
    <x v="0"/>
    <s v="TELHA GALVALUME TP 40 0,43MM"/>
    <x v="8"/>
    <n v="442.5"/>
  </r>
  <r>
    <x v="4"/>
    <s v="TELHA GALVALUME TP 40 0,43MM 5,00M"/>
    <x v="8"/>
    <n v="86"/>
  </r>
  <r>
    <x v="8"/>
    <s v="TELHA GALVALUME OND 17 0,43MM 7,00M"/>
    <x v="8"/>
    <n v="69"/>
  </r>
  <r>
    <x v="10"/>
    <s v="TELHA GALVALUME OND 17 0,43MM 6,00M"/>
    <x v="8"/>
    <n v="60"/>
  </r>
  <r>
    <x v="17"/>
    <s v="TELHA CUMEEIRA GL TRAP 40 ABAS 300MM"/>
    <x v="8"/>
    <n v="60"/>
  </r>
  <r>
    <x v="6"/>
    <s v="TELHA GALVALUME TP 40 0,43MM 7,00M"/>
    <x v="8"/>
    <n v="60"/>
  </r>
  <r>
    <x v="15"/>
    <s v="TELHA GALVALUME OND 17 0,43MM"/>
    <x v="8"/>
    <n v="52.5"/>
  </r>
  <r>
    <x v="5"/>
    <s v="TELHA GALVALUME OND 17 0,43MM 5,00M"/>
    <x v="8"/>
    <n v="47"/>
  </r>
  <r>
    <x v="1"/>
    <s v="TELHA GALVALUME TP 40 0,43MM 4,00M"/>
    <x v="8"/>
    <n v="43"/>
  </r>
  <r>
    <x v="2"/>
    <s v="TELHA GALVALUME TP 40 0,43MM 6,00M"/>
    <x v="8"/>
    <n v="31"/>
  </r>
  <r>
    <x v="7"/>
    <s v="TELHA GALVALUME OND 17 0,43MM 4,00M"/>
    <x v="8"/>
    <n v="26"/>
  </r>
  <r>
    <x v="16"/>
    <s v="TELHA GALVALUME OND 17 0,43MM 8,00M"/>
    <x v="8"/>
    <n v="16"/>
  </r>
  <r>
    <x v="3"/>
    <s v="TELHA GALVALUME TP 40 0,43MM 3,00M"/>
    <x v="8"/>
    <n v="11"/>
  </r>
  <r>
    <x v="18"/>
    <s v="TELHA GALVALUME TP 40 0,43MM 8,00M"/>
    <x v="8"/>
    <n v="10"/>
  </r>
  <r>
    <x v="19"/>
    <s v="TELHA CUMEEIRA GL TRAP 40 ABAS 300MM"/>
    <x v="8"/>
    <n v="4"/>
  </r>
  <r>
    <x v="0"/>
    <s v="TELHA GALVALUME TP 40 0,43MM"/>
    <x v="9"/>
    <n v="1561.4999999999998"/>
  </r>
  <r>
    <x v="4"/>
    <s v="TELHA GALVALUME TP 40 0,43MM 5,00M"/>
    <x v="9"/>
    <n v="142"/>
  </r>
  <r>
    <x v="1"/>
    <s v="TELHA GALVALUME TP 40 0,43MM 4,00M"/>
    <x v="9"/>
    <n v="81"/>
  </r>
  <r>
    <x v="2"/>
    <s v="TELHA GALVALUME TP 40 0,43MM 6,00M"/>
    <x v="9"/>
    <n v="80"/>
  </r>
  <r>
    <x v="17"/>
    <s v="TELHA CUMEEIRA GL TRAP 40 ABAS 300MM"/>
    <x v="9"/>
    <n v="55"/>
  </r>
  <r>
    <x v="18"/>
    <s v="TELHA GALVALUME TP 40 0,43MM 8,00M"/>
    <x v="9"/>
    <n v="32"/>
  </r>
  <r>
    <x v="3"/>
    <s v="TELHA GALVALUME TP 40 0,43MM 3,00M"/>
    <x v="9"/>
    <n v="25"/>
  </r>
  <r>
    <x v="6"/>
    <s v="TELHA GALVALUME TP 40 0,43MM 7,00M"/>
    <x v="9"/>
    <n v="14"/>
  </r>
  <r>
    <x v="8"/>
    <s v="TELHA GALVALUME OND 17 0,43MM 7,00M"/>
    <x v="9"/>
    <n v="12"/>
  </r>
  <r>
    <x v="15"/>
    <s v="TELHA GALVALUME OND 17 0,43MM"/>
    <x v="10"/>
    <n v="329.2"/>
  </r>
  <r>
    <x v="0"/>
    <s v="TELHA GALVALUME TP 40 0,43MM"/>
    <x v="10"/>
    <n v="278.60000000000002"/>
  </r>
  <r>
    <x v="4"/>
    <s v="TELHA GALVALUME TP 40 0,43MM 5,00M"/>
    <x v="10"/>
    <n v="182"/>
  </r>
  <r>
    <x v="1"/>
    <s v="TELHA GALVALUME TP 40 0,43MM 4,00M"/>
    <x v="10"/>
    <n v="136"/>
  </r>
  <r>
    <x v="5"/>
    <s v="TELHA GALVALUME OND 17 0,43MM 5,00M"/>
    <x v="10"/>
    <n v="92"/>
  </r>
  <r>
    <x v="17"/>
    <s v="TELHA CUMEEIRA GL TRAP 40 ABAS 300MM"/>
    <x v="10"/>
    <n v="72"/>
  </r>
  <r>
    <x v="3"/>
    <s v="TELHA GALVALUME TP 40 0,43MM 3,00M"/>
    <x v="10"/>
    <n v="69"/>
  </r>
  <r>
    <x v="6"/>
    <s v="TELHA GALVALUME TP 40 0,43MM 7,00M"/>
    <x v="10"/>
    <n v="54"/>
  </r>
  <r>
    <x v="8"/>
    <s v="TELHA GALVALUME OND 17 0,43MM 7,00M"/>
    <x v="10"/>
    <n v="51"/>
  </r>
  <r>
    <x v="20"/>
    <s v="TELHA CUMEEIRA GL OND 17 ABAS 300MM"/>
    <x v="10"/>
    <n v="18"/>
  </r>
  <r>
    <x v="2"/>
    <s v="TELHA GALVALUME TP 40 0,43MM 6,00M"/>
    <x v="10"/>
    <n v="18"/>
  </r>
  <r>
    <x v="9"/>
    <s v="TELHA GALVALUME OND 17 0,43MM 3,00M"/>
    <x v="10"/>
    <n v="7"/>
  </r>
  <r>
    <x v="16"/>
    <s v="TELHA GALVALUME OND 17 0,43MM 8,00M"/>
    <x v="10"/>
    <n v="5"/>
  </r>
  <r>
    <x v="7"/>
    <s v="TELHA GALVALUME OND 17 0,43MM 4,00M"/>
    <x v="10"/>
    <n v="5"/>
  </r>
  <r>
    <x v="10"/>
    <s v="TELHA GALVALUME OND 17 0,43MM 6,00M"/>
    <x v="10"/>
    <n v="2"/>
  </r>
  <r>
    <x v="1"/>
    <s v="TELHA GALVALUME TP 40 0,43MM 4,00M"/>
    <x v="11"/>
    <n v="177"/>
  </r>
  <r>
    <x v="2"/>
    <s v="TELHA GALVALUME TP 40 0,43MM 6,00M"/>
    <x v="11"/>
    <n v="106"/>
  </r>
  <r>
    <x v="17"/>
    <s v="TELHA CUMEEIRA GL TRAP 40 ABAS 300MM"/>
    <x v="11"/>
    <n v="58"/>
  </r>
  <r>
    <x v="18"/>
    <s v="TELHA GALVALUME TP 40 0,43MM 8,00M"/>
    <x v="11"/>
    <n v="53"/>
  </r>
  <r>
    <x v="6"/>
    <s v="TELHA GALVALUME TP 40 0,43MM 7,00M"/>
    <x v="11"/>
    <n v="30"/>
  </r>
  <r>
    <x v="4"/>
    <s v="TELHA GALVALUME TP 40 0,43MM 5,00M"/>
    <x v="11"/>
    <n v="23"/>
  </r>
  <r>
    <x v="9"/>
    <s v="TELHA GALVALUME OND 17 0,43MM 3,00M"/>
    <x v="11"/>
    <n v="9"/>
  </r>
  <r>
    <x v="10"/>
    <s v="TELHA GALVALUME OND 17 0,43MM 6,00M"/>
    <x v="11"/>
    <n v="8"/>
  </r>
  <r>
    <x v="3"/>
    <s v="TELHA GALVALUME TP 40 0,43MM 3,00M"/>
    <x v="11"/>
    <n v="8"/>
  </r>
  <r>
    <x v="7"/>
    <s v="TELHA GALVALUME OND 17 0,43MM 4,00M"/>
    <x v="11"/>
    <n v="2"/>
  </r>
  <r>
    <x v="0"/>
    <s v="TELHA GALVALUME TP 40 0,43MM"/>
    <x v="12"/>
    <n v="514.20000000000005"/>
  </r>
  <r>
    <x v="4"/>
    <s v="TELHA GALVALUME TP 40 0,43MM 5,00M"/>
    <x v="12"/>
    <n v="312"/>
  </r>
  <r>
    <x v="2"/>
    <s v="TELHA GALVALUME TP 40 0,43MM 6,00M"/>
    <x v="12"/>
    <n v="241"/>
  </r>
  <r>
    <x v="1"/>
    <s v="TELHA GALVALUME TP 40 0,43MM 4,00M"/>
    <x v="12"/>
    <n v="168"/>
  </r>
  <r>
    <x v="6"/>
    <s v="TELHA GALVALUME TP 40 0,43MM 7,00M"/>
    <x v="12"/>
    <n v="143"/>
  </r>
  <r>
    <x v="18"/>
    <s v="TELHA GALVALUME TP 40 0,43MM 8,00M"/>
    <x v="12"/>
    <n v="55"/>
  </r>
  <r>
    <x v="7"/>
    <s v="TELHA GALVALUME OND 17 0,43MM 4,00M"/>
    <x v="12"/>
    <n v="49"/>
  </r>
  <r>
    <x v="15"/>
    <s v="TELHA GALVALUME OND 17 0,43MM"/>
    <x v="12"/>
    <n v="39"/>
  </r>
  <r>
    <x v="17"/>
    <s v="TELHA CUMEEIRA GL TRAP 40 ABAS 300MM"/>
    <x v="12"/>
    <n v="30"/>
  </r>
  <r>
    <x v="3"/>
    <s v="TELHA GALVALUME TP 40 0,43MM 3,00M"/>
    <x v="12"/>
    <n v="7"/>
  </r>
  <r>
    <x v="5"/>
    <s v="TELHA GALVALUME OND 17 0,43MM 5,00M"/>
    <x v="12"/>
    <n v="2"/>
  </r>
  <r>
    <x v="0"/>
    <s v="TELHA GALVALUME TP 40 0,43MM"/>
    <x v="13"/>
    <n v="635.30000000000007"/>
  </r>
  <r>
    <x v="1"/>
    <s v="TELHA GALVALUME TP 40 0,43MM 4,00M"/>
    <x v="13"/>
    <n v="140"/>
  </r>
  <r>
    <x v="6"/>
    <s v="TELHA GALVALUME TP 40 0,43MM 7,00M"/>
    <x v="13"/>
    <n v="138"/>
  </r>
  <r>
    <x v="3"/>
    <s v="TELHA GALVALUME TP 40 0,43MM 3,00M"/>
    <x v="13"/>
    <n v="130"/>
  </r>
  <r>
    <x v="4"/>
    <s v="TELHA GALVALUME TP 40 0,43MM 5,00M"/>
    <x v="13"/>
    <n v="127"/>
  </r>
  <r>
    <x v="2"/>
    <s v="TELHA GALVALUME TP 40 0,43MM 6,00M"/>
    <x v="13"/>
    <n v="113"/>
  </r>
  <r>
    <x v="17"/>
    <s v="TELHA CUMEEIRA GL TRAP 40 ABAS 300MM"/>
    <x v="13"/>
    <n v="28"/>
  </r>
  <r>
    <x v="7"/>
    <s v="TELHA GALVALUME OND 17 0,43MM 4,00M"/>
    <x v="13"/>
    <n v="16"/>
  </r>
  <r>
    <x v="16"/>
    <s v="TELHA GALVALUME OND 17 0,43MM 8,00M"/>
    <x v="13"/>
    <n v="10"/>
  </r>
  <r>
    <x v="18"/>
    <s v="TELHA GALVALUME TP 40 0,43MM 8,00M"/>
    <x v="13"/>
    <n v="10"/>
  </r>
  <r>
    <x v="10"/>
    <s v="TELHA GALVALUME OND 17 0,43MM 6,00M"/>
    <x v="13"/>
    <n v="6"/>
  </r>
  <r>
    <x v="5"/>
    <s v="TELHA GALVALUME OND 17 0,43MM 5,00M"/>
    <x v="13"/>
    <n v="5"/>
  </r>
  <r>
    <x v="8"/>
    <s v="TELHA GALVALUME OND 17 0,43MM 7,00M"/>
    <x v="13"/>
    <n v="5"/>
  </r>
  <r>
    <x v="9"/>
    <s v="TELHA GALVALUME OND 17 0,43MM 3,00M"/>
    <x v="13"/>
    <n v="1"/>
  </r>
  <r>
    <x v="15"/>
    <s v="TELHA GALVALUME OND 17 0,43MM"/>
    <x v="14"/>
    <n v="625.5"/>
  </r>
  <r>
    <x v="2"/>
    <s v="TELHA GALVALUME TP 40 0,43MM 6,00M"/>
    <x v="14"/>
    <n v="550"/>
  </r>
  <r>
    <x v="0"/>
    <s v="TELHA GALVALUME TP 40 0,43MM"/>
    <x v="14"/>
    <n v="473.9"/>
  </r>
  <r>
    <x v="4"/>
    <s v="TELHA GALVALUME TP 40 0,43MM 5,00M"/>
    <x v="14"/>
    <n v="101"/>
  </r>
  <r>
    <x v="6"/>
    <s v="TELHA GALVALUME TP 40 0,43MM 7,00M"/>
    <x v="14"/>
    <n v="75"/>
  </r>
  <r>
    <x v="10"/>
    <s v="TELHA GALVALUME OND 17 0,43MM 6,00M"/>
    <x v="14"/>
    <n v="50"/>
  </r>
  <r>
    <x v="21"/>
    <s v="TELHA GALVALUME #0,43 TRAP 40 BRN"/>
    <x v="14"/>
    <n v="49.6"/>
  </r>
  <r>
    <x v="1"/>
    <s v="TELHA GALVALUME TP 40 0,43MM 4,00M"/>
    <x v="14"/>
    <n v="36"/>
  </r>
  <r>
    <x v="7"/>
    <s v="TELHA GALVALUME OND 17 0,43MM 4,00M"/>
    <x v="14"/>
    <n v="16"/>
  </r>
  <r>
    <x v="17"/>
    <s v="TELHA CUMEEIRA GL TRAP 40 ABAS 300MM"/>
    <x v="14"/>
    <n v="15"/>
  </r>
  <r>
    <x v="5"/>
    <s v="TELHA GALVALUME OND 17 0,43MM 5,00M"/>
    <x v="14"/>
    <n v="15"/>
  </r>
  <r>
    <x v="9"/>
    <s v="TELHA GALVALUME OND 17 0,43MM 3,00M"/>
    <x v="14"/>
    <n v="15"/>
  </r>
  <r>
    <x v="18"/>
    <s v="TELHA GALVALUME TP 40 0,43MM 8,00M"/>
    <x v="14"/>
    <n v="9"/>
  </r>
  <r>
    <x v="3"/>
    <s v="TELHA GALVALUME TP 40 0,43MM 3,00M"/>
    <x v="14"/>
    <n v="2"/>
  </r>
  <r>
    <x v="0"/>
    <s v="TELHA GALVALUME TP 40 0,43MM"/>
    <x v="15"/>
    <n v="2478.9"/>
  </r>
  <r>
    <x v="4"/>
    <s v="TELHA GALVALUME TP 40 0,43MM 5,00M"/>
    <x v="15"/>
    <n v="257"/>
  </r>
  <r>
    <x v="2"/>
    <s v="TELHA GALVALUME TP 40 0,43MM 6,00M"/>
    <x v="15"/>
    <n v="216"/>
  </r>
  <r>
    <x v="6"/>
    <s v="TELHA GALVALUME TP 40 0,43MM 7,00M"/>
    <x v="15"/>
    <n v="186"/>
  </r>
  <r>
    <x v="1"/>
    <s v="TELHA GALVALUME TP 40 0,43MM 4,00M"/>
    <x v="15"/>
    <n v="155"/>
  </r>
  <r>
    <x v="18"/>
    <s v="TELHA GALVALUME TP 40 0,43MM 8,00M"/>
    <x v="15"/>
    <n v="102"/>
  </r>
  <r>
    <x v="17"/>
    <s v="TELHA CUMEEIRA GL TRAP 40 ABAS 300MM"/>
    <x v="15"/>
    <n v="19"/>
  </r>
  <r>
    <x v="13"/>
    <s v="TELHA GALVALUME OND 17 0,43MM 4,00M"/>
    <x v="15"/>
    <n v="10"/>
  </r>
  <r>
    <x v="16"/>
    <s v="TELHA GALVALUME OND 17 0,43MM 8,00M"/>
    <x v="15"/>
    <n v="8"/>
  </r>
  <r>
    <x v="3"/>
    <s v="TELHA GALVALUME TP 40 0,43MM 3,00M"/>
    <x v="15"/>
    <n v="6"/>
  </r>
  <r>
    <x v="14"/>
    <s v="TELHA GALVALUME OND 17 0,43MM 6,00M"/>
    <x v="15"/>
    <n v="4"/>
  </r>
  <r>
    <x v="0"/>
    <s v="TELHA GALVALUME TP 40 0,43MM"/>
    <x v="16"/>
    <n v="892.6"/>
  </r>
  <r>
    <x v="2"/>
    <s v="TELHA GALVALUME TP 40 0,43MM 6,00M"/>
    <x v="16"/>
    <n v="274"/>
  </r>
  <r>
    <x v="4"/>
    <s v="TELHA GALVALUME TP 40 0,43MM 5,00M"/>
    <x v="16"/>
    <n v="108"/>
  </r>
  <r>
    <x v="7"/>
    <s v="TELHA GALVALUME OND 17 0,43MM 4,00M"/>
    <x v="16"/>
    <n v="82"/>
  </r>
  <r>
    <x v="6"/>
    <s v="TELHA GALVALUME TP 40 0,43MM 7,00M"/>
    <x v="16"/>
    <n v="51"/>
  </r>
  <r>
    <x v="1"/>
    <s v="TELHA GALVALUME TP 40 0,43MM 4,00M"/>
    <x v="16"/>
    <n v="49"/>
  </r>
  <r>
    <x v="5"/>
    <s v="TELHA GALVALUME OND 17 0,43MM 5,00M"/>
    <x v="16"/>
    <n v="39"/>
  </r>
  <r>
    <x v="18"/>
    <s v="TELHA GALVALUME TP 40 0,43MM 8,00M"/>
    <x v="16"/>
    <n v="34"/>
  </r>
  <r>
    <x v="3"/>
    <s v="TELHA GALVALUME TP 40 0,43MM 3,00M"/>
    <x v="16"/>
    <n v="21"/>
  </r>
  <r>
    <x v="8"/>
    <s v="TELHA GALVALUME OND 17 0,43MM 7,00M"/>
    <x v="16"/>
    <n v="20"/>
  </r>
  <r>
    <x v="17"/>
    <s v="TELHA CUMEEIRA GL TRAP 40 ABAS 300MM"/>
    <x v="16"/>
    <n v="13"/>
  </r>
  <r>
    <x v="10"/>
    <s v="TELHA GALVALUME OND 17 0,43MM 6,00M"/>
    <x v="16"/>
    <n v="12"/>
  </r>
  <r>
    <x v="16"/>
    <s v="TELHA GALVALUME OND 17 0,43MM 8,00M"/>
    <x v="16"/>
    <n v="12"/>
  </r>
  <r>
    <x v="0"/>
    <s v="TELHA GALVALUME TP 40 0,43MM"/>
    <x v="17"/>
    <n v="407.5"/>
  </r>
  <r>
    <x v="1"/>
    <s v="TELHA GALVALUME TP 40 0,43MM 4,00M"/>
    <x v="17"/>
    <n v="213"/>
  </r>
  <r>
    <x v="6"/>
    <s v="TELHA GALVALUME TP 40 0,43MM 7,00M"/>
    <x v="17"/>
    <n v="132"/>
  </r>
  <r>
    <x v="4"/>
    <s v="TELHA GALVALUME TP 40 0,43MM 5,00M"/>
    <x v="17"/>
    <n v="95"/>
  </r>
  <r>
    <x v="2"/>
    <s v="TELHA GALVALUME TP 40 0,43MM 6,00M"/>
    <x v="17"/>
    <n v="77"/>
  </r>
  <r>
    <x v="17"/>
    <s v="TELHA CUMEEIRA GL TRAP 40 ABAS 300MM"/>
    <x v="17"/>
    <n v="35"/>
  </r>
  <r>
    <x v="8"/>
    <s v="TELHA GALVALUME OND 17 0,43MM 7,00M"/>
    <x v="17"/>
    <n v="17"/>
  </r>
  <r>
    <x v="3"/>
    <s v="TELHA GALVALUME TP 40 0,43MM 3,00M"/>
    <x v="17"/>
    <n v="17"/>
  </r>
  <r>
    <x v="16"/>
    <s v="TELHA GALVALUME OND 17 0,43MM 8,00M"/>
    <x v="17"/>
    <n v="8"/>
  </r>
  <r>
    <x v="10"/>
    <s v="TELHA GALVALUME OND 17 0,43MM 6,00M"/>
    <x v="17"/>
    <n v="8"/>
  </r>
  <r>
    <x v="18"/>
    <s v="TELHA GALVALUME TP 40 0,43MM 8,00M"/>
    <x v="17"/>
    <n v="2"/>
  </r>
  <r>
    <x v="2"/>
    <s v="TELHA GALVALUME TP 40 0,43MM 6,00M"/>
    <x v="18"/>
    <n v="329"/>
  </r>
  <r>
    <x v="0"/>
    <s v="TELHA GALVALUME TP 40 0,43MM"/>
    <x v="18"/>
    <n v="318.5"/>
  </r>
  <r>
    <x v="1"/>
    <s v="TELHA GALVALUME TP 40 0,43MM 4,00M"/>
    <x v="18"/>
    <n v="164"/>
  </r>
  <r>
    <x v="4"/>
    <s v="TELHA GALVALUME TP 40 0,43MM 5,00M"/>
    <x v="18"/>
    <n v="95"/>
  </r>
  <r>
    <x v="8"/>
    <s v="TELHA GALVALUME OND 17 0,43MM 7,00M"/>
    <x v="18"/>
    <n v="6"/>
  </r>
  <r>
    <x v="3"/>
    <s v="TELHA GALVALUME TP 40 0,43MM 3,00M"/>
    <x v="18"/>
    <n v="1"/>
  </r>
  <r>
    <x v="9"/>
    <s v="TELHA GALVALUME OND 17 0,43MM 3,00M"/>
    <x v="18"/>
    <n v="1"/>
  </r>
  <r>
    <x v="0"/>
    <s v="TELHA GALVALUME TP 40 0,43MM"/>
    <x v="19"/>
    <n v="1444.9"/>
  </r>
  <r>
    <x v="15"/>
    <s v="TELHA GALVALUME OND 17 0,43MM"/>
    <x v="19"/>
    <n v="439.2"/>
  </r>
  <r>
    <x v="2"/>
    <s v="TELHA GALVALUME TP 40 0,43MM 6,00M"/>
    <x v="19"/>
    <n v="398"/>
  </r>
  <r>
    <x v="1"/>
    <s v="TELHA GALVALUME TP 40 0,43MM 4,00M"/>
    <x v="19"/>
    <n v="227"/>
  </r>
  <r>
    <x v="4"/>
    <s v="TELHA GALVALUME TP 40 0,43MM 5,00M"/>
    <x v="19"/>
    <n v="117"/>
  </r>
  <r>
    <x v="8"/>
    <s v="TELHA GALVALUME OND 17 0,43MM 7,00M"/>
    <x v="19"/>
    <n v="109"/>
  </r>
  <r>
    <x v="6"/>
    <s v="TELHA GALVALUME TP 40 0,43MM 7,00M"/>
    <x v="19"/>
    <n v="61"/>
  </r>
  <r>
    <x v="5"/>
    <s v="TELHA GALVALUME OND 17 0,43MM 5,00M"/>
    <x v="19"/>
    <n v="57"/>
  </r>
  <r>
    <x v="18"/>
    <s v="TELHA GALVALUME TP 40 0,43MM 8,00M"/>
    <x v="19"/>
    <n v="57"/>
  </r>
  <r>
    <x v="17"/>
    <s v="TELHA CUMEEIRA GL TRAP 40 ABAS 300MM"/>
    <x v="19"/>
    <n v="36"/>
  </r>
  <r>
    <x v="10"/>
    <s v="TELHA GALVALUME OND 17 0,43MM 6,00M"/>
    <x v="19"/>
    <n v="36"/>
  </r>
  <r>
    <x v="9"/>
    <s v="TELHA GALVALUME OND 17 0,43MM 3,00M"/>
    <x v="19"/>
    <n v="25"/>
  </r>
  <r>
    <x v="7"/>
    <s v="TELHA GALVALUME OND 17 0,43MM 4,00M"/>
    <x v="19"/>
    <n v="17"/>
  </r>
  <r>
    <x v="16"/>
    <s v="TELHA GALVALUME OND 17 0,43MM 8,00M"/>
    <x v="19"/>
    <n v="17"/>
  </r>
  <r>
    <x v="3"/>
    <s v="TELHA GALVALUME TP 40 0,43MM 3,00M"/>
    <x v="19"/>
    <n v="11"/>
  </r>
  <r>
    <x v="0"/>
    <s v="TELHA GALVALUME TP 40 0,43MM"/>
    <x v="20"/>
    <n v="262.60000000000002"/>
  </r>
  <r>
    <x v="10"/>
    <s v="TELHA GALVALUME OND 17 0,43MM 6,00M"/>
    <x v="20"/>
    <n v="207"/>
  </r>
  <r>
    <x v="2"/>
    <s v="TELHA GALVALUME TP 40 0,43MM 6,00M"/>
    <x v="20"/>
    <n v="85"/>
  </r>
  <r>
    <x v="8"/>
    <s v="TELHA GALVALUME OND 17 0,43MM 7,00M"/>
    <x v="20"/>
    <n v="63"/>
  </r>
  <r>
    <x v="1"/>
    <s v="TELHA GALVALUME TP 40 0,43MM 4,00M"/>
    <x v="20"/>
    <n v="52"/>
  </r>
  <r>
    <x v="15"/>
    <s v="TELHA GALVALUME OND 17 0,43MM"/>
    <x v="20"/>
    <n v="46.2"/>
  </r>
  <r>
    <x v="4"/>
    <s v="TELHA GALVALUME TP 40 0,43MM 5,00M"/>
    <x v="20"/>
    <n v="44"/>
  </r>
  <r>
    <x v="6"/>
    <s v="TELHA GALVALUME TP 40 0,43MM 7,00M"/>
    <x v="20"/>
    <n v="40"/>
  </r>
  <r>
    <x v="3"/>
    <s v="TELHA GALVALUME TP 40 0,43MM 3,00M"/>
    <x v="20"/>
    <n v="21"/>
  </r>
  <r>
    <x v="16"/>
    <s v="TELHA GALVALUME OND 17 0,43MM 8,00M"/>
    <x v="20"/>
    <n v="21"/>
  </r>
  <r>
    <x v="5"/>
    <s v="TELHA GALVALUME OND 17 0,43MM 5,00M"/>
    <x v="20"/>
    <n v="20"/>
  </r>
  <r>
    <x v="17"/>
    <s v="TELHA CUMEEIRA GL TRAP 40 ABAS 300MM"/>
    <x v="20"/>
    <n v="13"/>
  </r>
  <r>
    <x v="18"/>
    <s v="TELHA GALVALUME TP 40 0,43MM 8,00M"/>
    <x v="20"/>
    <n v="13"/>
  </r>
  <r>
    <x v="22"/>
    <s v="TELHA GALVALUME #0,32 TRAP 40 4,00M"/>
    <x v="20"/>
    <n v="8"/>
  </r>
  <r>
    <x v="13"/>
    <s v="TELHA GALVALUME OND 17 0,43MM 4,00M"/>
    <x v="20"/>
    <n v="4"/>
  </r>
  <r>
    <x v="23"/>
    <s v="TELHA GALVALUME #0,32 TRAP 40 6,00M"/>
    <x v="20"/>
    <n v="1"/>
  </r>
  <r>
    <x v="9"/>
    <s v="TELHA GALVALUME OND 17 0,43MM 3,00M"/>
    <x v="20"/>
    <n v="1"/>
  </r>
  <r>
    <x v="0"/>
    <s v="TELHA GALVALUME TP 40 0,43MM"/>
    <x v="21"/>
    <n v="1516.9"/>
  </r>
  <r>
    <x v="4"/>
    <s v="TELHA GALVALUME TP 40 0,43MM 5,00M"/>
    <x v="21"/>
    <n v="163"/>
  </r>
  <r>
    <x v="2"/>
    <s v="TELHA GALVALUME TP 40 0,43MM 6,00M"/>
    <x v="21"/>
    <n v="153"/>
  </r>
  <r>
    <x v="6"/>
    <s v="TELHA GALVALUME TP 40 0,43MM 7,00M"/>
    <x v="21"/>
    <n v="151"/>
  </r>
  <r>
    <x v="1"/>
    <s v="TELHA GALVALUME TP 40 0,43MM 4,00M"/>
    <x v="21"/>
    <n v="134"/>
  </r>
  <r>
    <x v="10"/>
    <s v="TELHA GALVALUME OND 17 0,43MM 6,00M"/>
    <x v="21"/>
    <n v="39"/>
  </r>
  <r>
    <x v="15"/>
    <s v="TELHA GALVALUME OND 17 0,43MM"/>
    <x v="21"/>
    <n v="35"/>
  </r>
  <r>
    <x v="18"/>
    <s v="TELHA GALVALUME TP 40 0,43MM 8,00M"/>
    <x v="21"/>
    <n v="21"/>
  </r>
  <r>
    <x v="17"/>
    <s v="TELHA CUMEEIRA GL TRAP 40 ABAS 300MM"/>
    <x v="21"/>
    <n v="10"/>
  </r>
  <r>
    <x v="3"/>
    <s v="TELHA GALVALUME TP 40 0,43MM 3,00M"/>
    <x v="21"/>
    <n v="9"/>
  </r>
  <r>
    <x v="1"/>
    <s v="TELHA GALVALUME TP 40 0,43MM 4,00M"/>
    <x v="22"/>
    <n v="68"/>
  </r>
  <r>
    <x v="2"/>
    <s v="TELHA GALVALUME TP 40 0,43MM 6,00M"/>
    <x v="22"/>
    <n v="56"/>
  </r>
  <r>
    <x v="6"/>
    <s v="TELHA GALVALUME TP 40 0,43MM 7,00M"/>
    <x v="22"/>
    <n v="55"/>
  </r>
  <r>
    <x v="4"/>
    <s v="TELHA GALVALUME TP 40 0,43MM 5,00M"/>
    <x v="22"/>
    <n v="30"/>
  </r>
  <r>
    <x v="3"/>
    <s v="TELHA GALVALUME TP 40 0,43MM 3,00M"/>
    <x v="22"/>
    <n v="17"/>
  </r>
  <r>
    <x v="5"/>
    <s v="TELHA GALVALUME OND 17 0,43MM 5,00M"/>
    <x v="22"/>
    <n v="7"/>
  </r>
  <r>
    <x v="23"/>
    <s v="TELHA GALVALUME #0,32 TRAP 40 6,00M"/>
    <x v="22"/>
    <n v="6"/>
  </r>
  <r>
    <x v="17"/>
    <s v="TELHA CUMEEIRA GL TRAP 40 ABAS 300MM"/>
    <x v="22"/>
    <n v="5"/>
  </r>
  <r>
    <x v="0"/>
    <s v="TELHA GALVALUME TP 40 0,43MM"/>
    <x v="23"/>
    <n v="201.4"/>
  </r>
  <r>
    <x v="2"/>
    <s v="TELHA GALVALUME TP 40 0,43MM 6,00M"/>
    <x v="23"/>
    <n v="133"/>
  </r>
  <r>
    <x v="10"/>
    <s v="TELHA GALVALUME OND 17 0,43MM 6,00M"/>
    <x v="23"/>
    <n v="84"/>
  </r>
  <r>
    <x v="1"/>
    <s v="TELHA GALVALUME TP 40 0,43MM 4,00M"/>
    <x v="23"/>
    <n v="77"/>
  </r>
  <r>
    <x v="6"/>
    <s v="TELHA GALVALUME TP 40 0,43MM 7,00M"/>
    <x v="23"/>
    <n v="57"/>
  </r>
  <r>
    <x v="5"/>
    <s v="TELHA GALVALUME OND 17 0,43MM 5,00M"/>
    <x v="23"/>
    <n v="53"/>
  </r>
  <r>
    <x v="4"/>
    <s v="TELHA GALVALUME TP 40 0,43MM 5,00M"/>
    <x v="23"/>
    <n v="28"/>
  </r>
  <r>
    <x v="18"/>
    <s v="TELHA GALVALUME TP 40 0,43MM 8,00M"/>
    <x v="23"/>
    <n v="24"/>
  </r>
  <r>
    <x v="8"/>
    <s v="TELHA GALVALUME OND 17 0,43MM 7,00M"/>
    <x v="23"/>
    <n v="18"/>
  </r>
  <r>
    <x v="7"/>
    <s v="TELHA GALVALUME OND 17 0,43MM 4,00M"/>
    <x v="23"/>
    <n v="15"/>
  </r>
  <r>
    <x v="16"/>
    <s v="TELHA GALVALUME OND 17 0,43MM 8,00M"/>
    <x v="23"/>
    <n v="9"/>
  </r>
  <r>
    <x v="3"/>
    <s v="TELHA GALVALUME TP 40 0,43MM 3,00M"/>
    <x v="23"/>
    <n v="6"/>
  </r>
  <r>
    <x v="2"/>
    <s v="TELHA GALVALUME TP 40 0,43MM 6,00M"/>
    <x v="24"/>
    <n v="83"/>
  </r>
  <r>
    <x v="0"/>
    <s v="TELHA GALVALUME TP 40 0,43MM"/>
    <x v="24"/>
    <n v="76.5"/>
  </r>
  <r>
    <x v="4"/>
    <s v="TELHA GALVALUME TP 40 0,43MM 5,00M"/>
    <x v="24"/>
    <n v="62"/>
  </r>
  <r>
    <x v="1"/>
    <s v="TELHA GALVALUME TP 40 0,43MM 4,00M"/>
    <x v="24"/>
    <n v="43"/>
  </r>
  <r>
    <x v="3"/>
    <s v="TELHA GALVALUME TP 40 0,43MM 3,00M"/>
    <x v="24"/>
    <n v="35"/>
  </r>
  <r>
    <x v="6"/>
    <s v="TELHA GALVALUME TP 40 0,43MM 7,00M"/>
    <x v="24"/>
    <n v="21"/>
  </r>
  <r>
    <x v="8"/>
    <s v="TELHA GALVALUME OND 17 0,43MM 7,00M"/>
    <x v="24"/>
    <n v="17"/>
  </r>
  <r>
    <x v="18"/>
    <s v="TELHA GALVALUME TP 40 0,43MM 8,00M"/>
    <x v="24"/>
    <n v="17"/>
  </r>
  <r>
    <x v="10"/>
    <s v="TELHA GALVALUME OND 17 0,43MM 6,00M"/>
    <x v="24"/>
    <n v="5"/>
  </r>
  <r>
    <x v="9"/>
    <s v="TELHA GALVALUME OND 17 0,43MM 3,00M"/>
    <x v="24"/>
    <n v="5"/>
  </r>
  <r>
    <x v="2"/>
    <s v="TELHA GALVALUME TP 40 0,43MM 6,00M"/>
    <x v="25"/>
    <n v="195"/>
  </r>
  <r>
    <x v="0"/>
    <s v="TELHA GALVALUME TP 40 0,43MM"/>
    <x v="25"/>
    <n v="170.9"/>
  </r>
  <r>
    <x v="4"/>
    <s v="TELHA GALVALUME TP 40 0,43MM 5,00M"/>
    <x v="25"/>
    <n v="67"/>
  </r>
  <r>
    <x v="1"/>
    <s v="TELHA GALVALUME TP 40 0,43MM 4,00M"/>
    <x v="25"/>
    <n v="43"/>
  </r>
  <r>
    <x v="6"/>
    <s v="TELHA GALVALUME TP 40 0,43MM 7,00M"/>
    <x v="25"/>
    <n v="17"/>
  </r>
  <r>
    <x v="5"/>
    <s v="TELHA GALVALUME OND 17 0,43MM 5,00M"/>
    <x v="25"/>
    <n v="13"/>
  </r>
  <r>
    <x v="10"/>
    <s v="TELHA GALVALUME OND 17 0,43MM 6,00M"/>
    <x v="25"/>
    <n v="13"/>
  </r>
  <r>
    <x v="17"/>
    <s v="TELHA CUMEEIRA GL TRAP 40 ABAS 300MM"/>
    <x v="25"/>
    <n v="10"/>
  </r>
  <r>
    <x v="16"/>
    <s v="TELHA GALVALUME OND 17 0,43MM 8,00M"/>
    <x v="25"/>
    <n v="8"/>
  </r>
  <r>
    <x v="8"/>
    <s v="TELHA GALVALUME OND 17 0,43MM 7,00M"/>
    <x v="25"/>
    <n v="8"/>
  </r>
  <r>
    <x v="3"/>
    <s v="TELHA GALVALUME TP 40 0,43MM 3,00M"/>
    <x v="25"/>
    <n v="4"/>
  </r>
  <r>
    <x v="9"/>
    <s v="TELHA GALVALUME OND 17 0,43MM 3,00M"/>
    <x v="25"/>
    <n v="1"/>
  </r>
  <r>
    <x v="2"/>
    <s v="TELHA GALVALUME TP 40 0,43MM 6,00M"/>
    <x v="26"/>
    <n v="401"/>
  </r>
  <r>
    <x v="0"/>
    <s v="TELHA GALVALUME TP 40 0,43MM"/>
    <x v="26"/>
    <n v="276.89999999999998"/>
  </r>
  <r>
    <x v="10"/>
    <s v="TELHA GALVALUME OND 17 0,43MM 6,00M"/>
    <x v="26"/>
    <n v="164"/>
  </r>
  <r>
    <x v="4"/>
    <s v="TELHA GALVALUME TP 40 0,43MM 5,00M"/>
    <x v="26"/>
    <n v="91"/>
  </r>
  <r>
    <x v="1"/>
    <s v="TELHA GALVALUME TP 40 0,43MM 4,00M"/>
    <x v="26"/>
    <n v="58"/>
  </r>
  <r>
    <x v="3"/>
    <s v="TELHA GALVALUME TP 40 0,43MM 3,00M"/>
    <x v="26"/>
    <n v="53"/>
  </r>
  <r>
    <x v="17"/>
    <s v="TELHA CUMEEIRA GL TRAP 40 ABAS 300MM"/>
    <x v="26"/>
    <n v="27"/>
  </r>
  <r>
    <x v="5"/>
    <s v="TELHA GALVALUME OND 17 0,43MM 5,00M"/>
    <x v="26"/>
    <n v="12"/>
  </r>
  <r>
    <x v="16"/>
    <s v="TELHA GALVALUME OND 17 0,43MM 8,00M"/>
    <x v="26"/>
    <n v="8"/>
  </r>
  <r>
    <x v="7"/>
    <s v="TELHA GALVALUME OND 17 0,43MM 4,00M"/>
    <x v="26"/>
    <n v="8"/>
  </r>
  <r>
    <x v="6"/>
    <s v="TELHA GALVALUME TP 40 0,43MM 7,00M"/>
    <x v="26"/>
    <n v="8"/>
  </r>
  <r>
    <x v="8"/>
    <s v="TELHA GALVALUME OND 17 0,43MM 7,00M"/>
    <x v="26"/>
    <n v="7"/>
  </r>
  <r>
    <x v="9"/>
    <s v="TELHA GALVALUME OND 17 0,43MM 3,00M"/>
    <x v="26"/>
    <n v="4"/>
  </r>
  <r>
    <x v="2"/>
    <s v="TELHA GALVALUME TP 40 0,43MM 6,00M"/>
    <x v="27"/>
    <n v="281"/>
  </r>
  <r>
    <x v="4"/>
    <s v="TELHA GALVALUME TP 40 0,43MM 5,00M"/>
    <x v="27"/>
    <n v="168"/>
  </r>
  <r>
    <x v="0"/>
    <s v="TELHA GALVALUME TP 40 0,43MM"/>
    <x v="27"/>
    <n v="160.89999999999998"/>
  </r>
  <r>
    <x v="6"/>
    <s v="TELHA GALVALUME TP 40 0,43MM 7,00M"/>
    <x v="27"/>
    <n v="60"/>
  </r>
  <r>
    <x v="1"/>
    <s v="TELHA GALVALUME TP 40 0,43MM 4,00M"/>
    <x v="27"/>
    <n v="43"/>
  </r>
  <r>
    <x v="17"/>
    <s v="TELHA CUMEEIRA GL TRAP 40 ABAS 300MM"/>
    <x v="27"/>
    <n v="29"/>
  </r>
  <r>
    <x v="3"/>
    <s v="TELHA GALVALUME TP 40 0,43MM 3,00M"/>
    <x v="27"/>
    <n v="26"/>
  </r>
  <r>
    <x v="5"/>
    <s v="TELHA GALVALUME OND 17 0,43MM 5,00M"/>
    <x v="27"/>
    <n v="16"/>
  </r>
  <r>
    <x v="16"/>
    <s v="TELHA GALVALUME OND 17 0,43MM 8,00M"/>
    <x v="27"/>
    <n v="12"/>
  </r>
  <r>
    <x v="9"/>
    <s v="TELHA GALVALUME OND 17 0,43MM 3,00M"/>
    <x v="27"/>
    <n v="3"/>
  </r>
  <r>
    <x v="0"/>
    <s v="TELHA GALVALUME TP 40 0,43MM"/>
    <x v="28"/>
    <n v="378.4"/>
  </r>
  <r>
    <x v="2"/>
    <s v="TELHA GALVALUME TP 40 0,43MM 6,00M"/>
    <x v="28"/>
    <n v="298"/>
  </r>
  <r>
    <x v="4"/>
    <s v="TELHA GALVALUME TP 40 0,43MM 5,00M"/>
    <x v="28"/>
    <n v="171"/>
  </r>
  <r>
    <x v="6"/>
    <s v="TELHA GALVALUME TP 40 0,43MM 7,00M"/>
    <x v="28"/>
    <n v="170"/>
  </r>
  <r>
    <x v="17"/>
    <s v="TELHA CUMEEIRA GL TRAP 40 ABAS 300MM"/>
    <x v="28"/>
    <n v="102"/>
  </r>
  <r>
    <x v="1"/>
    <s v="TELHA GALVALUME TP 40 0,43MM 4,00M"/>
    <x v="28"/>
    <n v="98"/>
  </r>
  <r>
    <x v="15"/>
    <s v="TELHA GALVALUME OND 17 0,43MM"/>
    <x v="28"/>
    <n v="66"/>
  </r>
  <r>
    <x v="10"/>
    <s v="TELHA GALVALUME OND 17 0,43MM 6,00M"/>
    <x v="28"/>
    <n v="52"/>
  </r>
  <r>
    <x v="3"/>
    <s v="TELHA GALVALUME TP 40 0,43MM 3,00M"/>
    <x v="28"/>
    <n v="51"/>
  </r>
  <r>
    <x v="7"/>
    <s v="TELHA GALVALUME OND 17 0,43MM 4,00M"/>
    <x v="28"/>
    <n v="41"/>
  </r>
  <r>
    <x v="9"/>
    <s v="TELHA GALVALUME OND 17 0,43MM 3,00M"/>
    <x v="28"/>
    <n v="21"/>
  </r>
  <r>
    <x v="18"/>
    <s v="TELHA GALVALUME TP 40 0,43MM 8,00M"/>
    <x v="28"/>
    <n v="16"/>
  </r>
  <r>
    <x v="4"/>
    <s v="TELHA GALVALUME TP 40 0,43MM 5,00M"/>
    <x v="29"/>
    <n v="429"/>
  </r>
  <r>
    <x v="0"/>
    <s v="TELHA GALVALUME TP 40 0,43MM"/>
    <x v="29"/>
    <n v="424.8"/>
  </r>
  <r>
    <x v="17"/>
    <s v="TELHA CUMEEIRA GL TRAP 40 ABAS 300MM"/>
    <x v="29"/>
    <n v="302"/>
  </r>
  <r>
    <x v="2"/>
    <s v="TELHA GALVALUME TP 40 0,43MM 6,00M"/>
    <x v="29"/>
    <n v="255"/>
  </r>
  <r>
    <x v="1"/>
    <s v="TELHA GALVALUME TP 40 0,43MM 4,00M"/>
    <x v="29"/>
    <n v="242"/>
  </r>
  <r>
    <x v="6"/>
    <s v="TELHA GALVALUME TP 40 0,43MM 7,00M"/>
    <x v="29"/>
    <n v="113"/>
  </r>
  <r>
    <x v="3"/>
    <s v="TELHA GALVALUME TP 40 0,43MM 3,00M"/>
    <x v="29"/>
    <n v="35"/>
  </r>
  <r>
    <x v="18"/>
    <s v="TELHA GALVALUME TP 40 0,43MM 8,00M"/>
    <x v="29"/>
    <n v="17"/>
  </r>
  <r>
    <x v="7"/>
    <s v="TELHA GALVALUME OND 17 0,43MM 4,00M"/>
    <x v="29"/>
    <n v="5"/>
  </r>
  <r>
    <x v="0"/>
    <s v="TELHA GALVALUME TP 40 0,43MM"/>
    <x v="30"/>
    <n v="1204.5"/>
  </r>
  <r>
    <x v="15"/>
    <s v="TELHA GALVALUME OND 17 0,43MM"/>
    <x v="30"/>
    <n v="546"/>
  </r>
  <r>
    <x v="2"/>
    <s v="TELHA GALVALUME TP 40 0,43MM 6,00M"/>
    <x v="30"/>
    <n v="234"/>
  </r>
  <r>
    <x v="5"/>
    <s v="TELHA GALVALUME OND 17 0,43MM 5,00M"/>
    <x v="30"/>
    <n v="205"/>
  </r>
  <r>
    <x v="4"/>
    <s v="TELHA GALVALUME TP 40 0,43MM 5,00M"/>
    <x v="30"/>
    <n v="171"/>
  </r>
  <r>
    <x v="1"/>
    <s v="TELHA GALVALUME TP 40 0,43MM 4,00M"/>
    <x v="30"/>
    <n v="140"/>
  </r>
  <r>
    <x v="10"/>
    <s v="TELHA GALVALUME OND 17 0,43MM 6,00M"/>
    <x v="30"/>
    <n v="111"/>
  </r>
  <r>
    <x v="23"/>
    <s v="TELHA GALVALUME #0,32 TRAP 40 6,00M"/>
    <x v="30"/>
    <n v="54"/>
  </r>
  <r>
    <x v="3"/>
    <s v="TELHA GALVALUME TP 40 0,43MM 3,00M"/>
    <x v="30"/>
    <n v="47"/>
  </r>
  <r>
    <x v="6"/>
    <s v="TELHA GALVALUME TP 40 0,43MM 7,00M"/>
    <x v="30"/>
    <n v="40"/>
  </r>
  <r>
    <x v="18"/>
    <s v="TELHA GALVALUME TP 40 0,43MM 8,00M"/>
    <x v="30"/>
    <n v="28"/>
  </r>
  <r>
    <x v="17"/>
    <s v="TELHA CUMEEIRA GL TRAP 40 ABAS 300MM"/>
    <x v="30"/>
    <n v="26"/>
  </r>
  <r>
    <x v="9"/>
    <s v="TELHA GALVALUME OND 17 0,43MM 3,00M"/>
    <x v="30"/>
    <n v="12"/>
  </r>
  <r>
    <x v="7"/>
    <s v="TELHA GALVALUME OND 17 0,43MM 4,00M"/>
    <x v="30"/>
    <n v="7"/>
  </r>
  <r>
    <x v="16"/>
    <s v="TELHA GALVALUME OND 17 0,43MM 8,00M"/>
    <x v="30"/>
    <n v="5"/>
  </r>
  <r>
    <x v="0"/>
    <s v="TELHA GALVALUME TP 40 0,43MM"/>
    <x v="31"/>
    <n v="428.2"/>
  </r>
  <r>
    <x v="2"/>
    <s v="TELHA GALVALUME TP 40 0,43MM 6,00M"/>
    <x v="31"/>
    <n v="178"/>
  </r>
  <r>
    <x v="10"/>
    <s v="TELHA GALVALUME OND 17 0,43MM 6,00M"/>
    <x v="31"/>
    <n v="66"/>
  </r>
  <r>
    <x v="3"/>
    <s v="TELHA GALVALUME TP 40 0,43MM 3,00M"/>
    <x v="31"/>
    <n v="46"/>
  </r>
  <r>
    <x v="1"/>
    <s v="TELHA GALVALUME TP 40 0,43MM 4,00M"/>
    <x v="31"/>
    <n v="42"/>
  </r>
  <r>
    <x v="17"/>
    <s v="TELHA CUMEEIRA GL TRAP 40 ABAS 300MM"/>
    <x v="31"/>
    <n v="34"/>
  </r>
  <r>
    <x v="4"/>
    <s v="TELHA GALVALUME TP 40 0,43MM 5,00M"/>
    <x v="31"/>
    <n v="20"/>
  </r>
  <r>
    <x v="5"/>
    <s v="TELHA GALVALUME OND 17 0,43MM 5,00M"/>
    <x v="31"/>
    <n v="16"/>
  </r>
  <r>
    <x v="6"/>
    <s v="TELHA GALVALUME TP 40 0,43MM 7,00M"/>
    <x v="31"/>
    <n v="14"/>
  </r>
  <r>
    <x v="8"/>
    <s v="TELHA GALVALUME OND 17 0,43MM 7,00M"/>
    <x v="31"/>
    <n v="2"/>
  </r>
  <r>
    <x v="0"/>
    <s v="TELHA GALVALUME TP 40 0,43MM"/>
    <x v="32"/>
    <n v="626.1"/>
  </r>
  <r>
    <x v="4"/>
    <s v="TELHA GALVALUME TP 40 0,43MM 5,00M"/>
    <x v="32"/>
    <n v="96"/>
  </r>
  <r>
    <x v="1"/>
    <s v="TELHA GALVALUME TP 40 0,43MM 4,00M"/>
    <x v="32"/>
    <n v="8"/>
  </r>
  <r>
    <x v="18"/>
    <s v="TELHA GALVALUME TP 40 0,43MM 8,00M"/>
    <x v="32"/>
    <n v="6"/>
  </r>
  <r>
    <x v="8"/>
    <s v="TELHA GALVALUME OND 17 0,43MM 7,00M"/>
    <x v="32"/>
    <n v="5"/>
  </r>
  <r>
    <x v="6"/>
    <s v="TELHA GALVALUME TP 40 0,43MM 7,00M"/>
    <x v="32"/>
    <n v="3"/>
  </r>
  <r>
    <x v="0"/>
    <s v="TELHA GALVALUME TP 40 0,43MM"/>
    <x v="33"/>
    <n v="210.39999999999998"/>
  </r>
  <r>
    <x v="2"/>
    <s v="TELHA GALVALUME TP 40 0,43MM 6,00M"/>
    <x v="33"/>
    <n v="70"/>
  </r>
  <r>
    <x v="6"/>
    <s v="TELHA GALVALUME TP 40 0,43MM 7,00M"/>
    <x v="33"/>
    <n v="30"/>
  </r>
  <r>
    <x v="1"/>
    <s v="TELHA GALVALUME TP 40 0,43MM 4,00M"/>
    <x v="33"/>
    <n v="24"/>
  </r>
  <r>
    <x v="4"/>
    <s v="TELHA GALVALUME TP 40 0,43MM 5,00M"/>
    <x v="33"/>
    <n v="24"/>
  </r>
  <r>
    <x v="3"/>
    <s v="TELHA GALVALUME TP 40 0,43MM 3,00M"/>
    <x v="33"/>
    <n v="23"/>
  </r>
  <r>
    <x v="18"/>
    <s v="TELHA GALVALUME TP 40 0,43MM 8,00M"/>
    <x v="33"/>
    <n v="16"/>
  </r>
  <r>
    <x v="17"/>
    <s v="TELHA CUMEEIRA GL TRAP 40 ABAS 300MM"/>
    <x v="33"/>
    <n v="8"/>
  </r>
  <r>
    <x v="2"/>
    <s v="TELHA GALVALUME TP 40 0,43MM 6,00M"/>
    <x v="34"/>
    <n v="310"/>
  </r>
  <r>
    <x v="1"/>
    <s v="TELHA GALVALUME TP 40 0,43MM 4,00M"/>
    <x v="34"/>
    <n v="122"/>
  </r>
  <r>
    <x v="6"/>
    <s v="TELHA GALVALUME TP 40 0,43MM 7,00M"/>
    <x v="34"/>
    <n v="93"/>
  </r>
  <r>
    <x v="3"/>
    <s v="TELHA GALVALUME TP 40 0,43MM 3,00M"/>
    <x v="34"/>
    <n v="57"/>
  </r>
  <r>
    <x v="0"/>
    <s v="TELHA GALVALUME TP 40 0,43MM"/>
    <x v="34"/>
    <n v="35.299999999999997"/>
  </r>
  <r>
    <x v="4"/>
    <s v="TELHA GALVALUME TP 40 0,43MM 5,00M"/>
    <x v="34"/>
    <n v="26"/>
  </r>
  <r>
    <x v="17"/>
    <s v="TELHA CUMEEIRA GL TRAP 40 ABAS 300MM"/>
    <x v="34"/>
    <n v="23"/>
  </r>
  <r>
    <x v="7"/>
    <s v="TELHA GALVALUME OND 17 0,43MM 4,00M"/>
    <x v="34"/>
    <n v="19"/>
  </r>
  <r>
    <x v="10"/>
    <s v="TELHA GALVALUME OND 17 0,43MM 6,00M"/>
    <x v="34"/>
    <n v="17"/>
  </r>
  <r>
    <x v="5"/>
    <s v="TELHA GALVALUME OND 17 0,43MM 5,00M"/>
    <x v="34"/>
    <n v="14"/>
  </r>
  <r>
    <x v="0"/>
    <s v="TELHA GALVALUME TP 40 0,43MM"/>
    <x v="35"/>
    <n v="370.9"/>
  </r>
  <r>
    <x v="15"/>
    <s v="TELHA GALVALUME OND 17 0,43MM"/>
    <x v="35"/>
    <n v="339.2"/>
  </r>
  <r>
    <x v="2"/>
    <s v="TELHA GALVALUME TP 40 0,43MM 6,00M"/>
    <x v="35"/>
    <n v="86"/>
  </r>
  <r>
    <x v="4"/>
    <s v="TELHA GALVALUME TP 40 0,43MM 5,00M"/>
    <x v="35"/>
    <n v="83"/>
  </r>
  <r>
    <x v="10"/>
    <s v="TELHA GALVALUME OND 17 0,43MM 6,00M"/>
    <x v="35"/>
    <n v="80"/>
  </r>
  <r>
    <x v="6"/>
    <s v="TELHA GALVALUME TP 40 0,43MM 7,00M"/>
    <x v="35"/>
    <n v="80"/>
  </r>
  <r>
    <x v="18"/>
    <s v="TELHA GALVALUME TP 40 0,43MM 8,00M"/>
    <x v="35"/>
    <n v="76"/>
  </r>
  <r>
    <x v="16"/>
    <s v="TELHA GALVALUME OND 17 0,43MM 8,00M"/>
    <x v="35"/>
    <n v="55"/>
  </r>
  <r>
    <x v="8"/>
    <s v="TELHA GALVALUME OND 17 0,43MM 7,00M"/>
    <x v="35"/>
    <n v="36"/>
  </r>
  <r>
    <x v="3"/>
    <s v="TELHA GALVALUME TP 40 0,43MM 3,00M"/>
    <x v="35"/>
    <n v="28"/>
  </r>
  <r>
    <x v="7"/>
    <s v="TELHA GALVALUME OND 17 0,43MM 4,00M"/>
    <x v="35"/>
    <n v="24"/>
  </r>
  <r>
    <x v="1"/>
    <s v="TELHA GALVALUME TP 40 0,43MM 4,00M"/>
    <x v="35"/>
    <n v="16"/>
  </r>
  <r>
    <x v="17"/>
    <s v="TELHA CUMEEIRA GL TRAP 40 ABAS 300MM"/>
    <x v="35"/>
    <n v="11.25"/>
  </r>
  <r>
    <x v="5"/>
    <s v="TELHA GALVALUME OND 17 0,43MM 5,00M"/>
    <x v="35"/>
    <n v="6"/>
  </r>
  <r>
    <x v="0"/>
    <s v="TELHA GALVALUME TP 40 0,43MM"/>
    <x v="36"/>
    <n v="4898.4000000000005"/>
  </r>
  <r>
    <x v="2"/>
    <s v="TELHA GALVALUME TP 40 0,43MM 6,00M"/>
    <x v="36"/>
    <n v="171"/>
  </r>
  <r>
    <x v="4"/>
    <s v="TELHA GALVALUME TP 40 0,43MM 5,00M"/>
    <x v="36"/>
    <n v="87"/>
  </r>
  <r>
    <x v="6"/>
    <s v="TELHA GALVALUME TP 40 0,43MM 7,00M"/>
    <x v="36"/>
    <n v="77"/>
  </r>
  <r>
    <x v="10"/>
    <s v="TELHA GALVALUME OND 17 0,43MM 6,00M"/>
    <x v="36"/>
    <n v="32"/>
  </r>
  <r>
    <x v="18"/>
    <s v="TELHA GALVALUME TP 40 0,43MM 8,00M"/>
    <x v="36"/>
    <n v="29"/>
  </r>
  <r>
    <x v="1"/>
    <s v="TELHA GALVALUME TP 40 0,43MM 4,00M"/>
    <x v="36"/>
    <n v="23"/>
  </r>
  <r>
    <x v="3"/>
    <s v="TELHA GALVALUME TP 40 0,43MM 3,00M"/>
    <x v="36"/>
    <n v="19"/>
  </r>
  <r>
    <x v="9"/>
    <s v="TELHA GALVALUME OND 17 0,43MM 3,00M"/>
    <x v="36"/>
    <n v="11"/>
  </r>
  <r>
    <x v="15"/>
    <s v="TELHA GALVALUME OND 17 0,43MM"/>
    <x v="37"/>
    <n v="639.15"/>
  </r>
  <r>
    <x v="2"/>
    <s v="TELHA GALVALUME TP 40 0,43MM 6,00M"/>
    <x v="37"/>
    <n v="332"/>
  </r>
  <r>
    <x v="0"/>
    <s v="TELHA GALVALUME TP 40 0,43MM"/>
    <x v="37"/>
    <n v="269.3"/>
  </r>
  <r>
    <x v="4"/>
    <s v="TELHA GALVALUME TP 40 0,43MM 5,00M"/>
    <x v="37"/>
    <n v="104"/>
  </r>
  <r>
    <x v="5"/>
    <s v="TELHA GALVALUME OND 17 0,43MM 5,00M"/>
    <x v="37"/>
    <n v="71"/>
  </r>
  <r>
    <x v="1"/>
    <s v="TELHA GALVALUME TP 40 0,43MM 4,00M"/>
    <x v="37"/>
    <n v="70"/>
  </r>
  <r>
    <x v="10"/>
    <s v="TELHA GALVALUME OND 17 0,43MM 6,00M"/>
    <x v="37"/>
    <n v="40"/>
  </r>
  <r>
    <x v="6"/>
    <s v="TELHA GALVALUME TP 40 0,43MM 7,00M"/>
    <x v="37"/>
    <n v="37"/>
  </r>
  <r>
    <x v="7"/>
    <s v="TELHA GALVALUME OND 17 0,43MM 4,00M"/>
    <x v="37"/>
    <n v="37"/>
  </r>
  <r>
    <x v="17"/>
    <s v="TELHA CUMEEIRA GL TRAP 40 ABAS 300MM"/>
    <x v="37"/>
    <n v="28"/>
  </r>
  <r>
    <x v="20"/>
    <s v="TELHA CUMEEIRA GL OND 17 ABAS 300MM"/>
    <x v="37"/>
    <n v="26"/>
  </r>
  <r>
    <x v="16"/>
    <s v="TELHA GALVALUME OND 17 0,43MM 8,00M"/>
    <x v="37"/>
    <n v="13"/>
  </r>
  <r>
    <x v="3"/>
    <s v="TELHA GALVALUME TP 40 0,43MM 3,00M"/>
    <x v="37"/>
    <n v="12"/>
  </r>
  <r>
    <x v="8"/>
    <s v="TELHA GALVALUME OND 17 0,43MM 7,00M"/>
    <x v="37"/>
    <n v="9"/>
  </r>
  <r>
    <x v="9"/>
    <s v="TELHA GALVALUME OND 17 0,43MM 3,00M"/>
    <x v="37"/>
    <n v="5"/>
  </r>
  <r>
    <x v="4"/>
    <s v="TELHA GALVALUME TP 40 0,43MM 5,00M"/>
    <x v="38"/>
    <n v="142"/>
  </r>
  <r>
    <x v="0"/>
    <s v="TELHA GALVALUME TP 40 0,43MM"/>
    <x v="38"/>
    <n v="137.69999999999999"/>
  </r>
  <r>
    <x v="15"/>
    <s v="TELHA GALVALUME OND 17 0,43MM"/>
    <x v="38"/>
    <n v="66"/>
  </r>
  <r>
    <x v="17"/>
    <s v="TELHA CUMEEIRA GL TRAP 40 ABAS 300MM"/>
    <x v="38"/>
    <n v="66"/>
  </r>
  <r>
    <x v="2"/>
    <s v="TELHA GALVALUME TP 40 0,43MM 6,00M"/>
    <x v="38"/>
    <n v="63"/>
  </r>
  <r>
    <x v="18"/>
    <s v="TELHA GALVALUME TP 40 0,43MM 8,00M"/>
    <x v="38"/>
    <n v="54"/>
  </r>
  <r>
    <x v="1"/>
    <s v="TELHA GALVALUME TP 40 0,43MM 4,00M"/>
    <x v="38"/>
    <n v="48"/>
  </r>
  <r>
    <x v="6"/>
    <s v="TELHA GALVALUME TP 40 0,43MM 7,00M"/>
    <x v="38"/>
    <n v="46"/>
  </r>
  <r>
    <x v="3"/>
    <s v="TELHA GALVALUME TP 40 0,43MM 3,00M"/>
    <x v="38"/>
    <n v="33"/>
  </r>
  <r>
    <x v="10"/>
    <s v="TELHA GALVALUME OND 17 0,43MM 6,00M"/>
    <x v="38"/>
    <n v="7"/>
  </r>
  <r>
    <x v="0"/>
    <s v="TELHA GALVALUME TP 40 0,43MM"/>
    <x v="39"/>
    <n v="1072.3"/>
  </r>
  <r>
    <x v="4"/>
    <s v="TELHA GALVALUME TP 40 0,43MM 5,00M"/>
    <x v="39"/>
    <n v="81"/>
  </r>
  <r>
    <x v="2"/>
    <s v="TELHA GALVALUME TP 40 0,43MM 6,00M"/>
    <x v="39"/>
    <n v="56"/>
  </r>
  <r>
    <x v="3"/>
    <s v="TELHA GALVALUME TP 40 0,43MM 3,00M"/>
    <x v="39"/>
    <n v="54"/>
  </r>
  <r>
    <x v="17"/>
    <s v="TELHA CUMEEIRA GL TRAP 40 ABAS 300MM"/>
    <x v="39"/>
    <n v="44"/>
  </r>
  <r>
    <x v="6"/>
    <s v="TELHA GALVALUME TP 40 0,43MM 7,00M"/>
    <x v="39"/>
    <n v="41"/>
  </r>
  <r>
    <x v="18"/>
    <s v="TELHA GALVALUME TP 40 0,43MM 8,00M"/>
    <x v="39"/>
    <n v="36"/>
  </r>
  <r>
    <x v="1"/>
    <s v="TELHA GALVALUME TP 40 0,43MM 4,00M"/>
    <x v="39"/>
    <n v="19"/>
  </r>
  <r>
    <x v="7"/>
    <s v="TELHA GALVALUME OND 17 0,43MM 4,00M"/>
    <x v="39"/>
    <n v="14"/>
  </r>
  <r>
    <x v="10"/>
    <s v="TELHA GALVALUME OND 17 0,43MM 6,00M"/>
    <x v="39"/>
    <n v="4"/>
  </r>
  <r>
    <x v="0"/>
    <s v="TELHA GALVALUME TP 40 0,43MM"/>
    <x v="40"/>
    <n v="1364.48"/>
  </r>
  <r>
    <x v="1"/>
    <s v="TELHA GALVALUME TP 40 0,43MM 4,00M"/>
    <x v="40"/>
    <n v="152"/>
  </r>
  <r>
    <x v="4"/>
    <s v="TELHA GALVALUME TP 40 0,43MM 5,00M"/>
    <x v="40"/>
    <n v="113"/>
  </r>
  <r>
    <x v="6"/>
    <s v="TELHA GALVALUME TP 40 0,43MM 7,00M"/>
    <x v="40"/>
    <n v="108"/>
  </r>
  <r>
    <x v="5"/>
    <s v="TELHA GALVALUME OND 17 0,43MM 5,00M"/>
    <x v="40"/>
    <n v="73"/>
  </r>
  <r>
    <x v="7"/>
    <s v="TELHA GALVALUME OND 17 0,43MM 4,00M"/>
    <x v="40"/>
    <n v="53"/>
  </r>
  <r>
    <x v="8"/>
    <s v="TELHA GALVALUME OND 17 0,43MM 7,00M"/>
    <x v="40"/>
    <n v="48"/>
  </r>
  <r>
    <x v="2"/>
    <s v="TELHA GALVALUME TP 40 0,43MM 6,00M"/>
    <x v="40"/>
    <n v="44"/>
  </r>
  <r>
    <x v="3"/>
    <s v="TELHA GALVALUME TP 40 0,43MM 3,00M"/>
    <x v="40"/>
    <n v="35"/>
  </r>
  <r>
    <x v="10"/>
    <s v="TELHA GALVALUME OND 17 0,43MM 6,00M"/>
    <x v="40"/>
    <n v="29"/>
  </r>
  <r>
    <x v="16"/>
    <s v="TELHA GALVALUME OND 17 0,43MM 8,00M"/>
    <x v="40"/>
    <n v="21"/>
  </r>
  <r>
    <x v="18"/>
    <s v="TELHA GALVALUME TP 40 0,43MM 8,00M"/>
    <x v="40"/>
    <n v="14"/>
  </r>
  <r>
    <x v="23"/>
    <s v="TELHA GALVALUME #0,32 TRAP 40 6,00M"/>
    <x v="40"/>
    <n v="1"/>
  </r>
  <r>
    <x v="0"/>
    <s v="TELHA GALVALUME TP 40 0,43MM"/>
    <x v="41"/>
    <n v="275.7"/>
  </r>
  <r>
    <x v="2"/>
    <s v="TELHA GALVALUME TP 40 0,43MM 6,00M"/>
    <x v="41"/>
    <n v="157"/>
  </r>
  <r>
    <x v="4"/>
    <s v="TELHA GALVALUME TP 40 0,43MM 5,00M"/>
    <x v="41"/>
    <n v="100"/>
  </r>
  <r>
    <x v="10"/>
    <s v="TELHA GALVALUME OND 17 0,43MM 6,00M"/>
    <x v="41"/>
    <n v="48"/>
  </r>
  <r>
    <x v="1"/>
    <s v="TELHA GALVALUME TP 40 0,43MM 4,00M"/>
    <x v="41"/>
    <n v="46"/>
  </r>
  <r>
    <x v="6"/>
    <s v="TELHA GALVALUME TP 40 0,43MM 7,00M"/>
    <x v="41"/>
    <n v="41"/>
  </r>
  <r>
    <x v="3"/>
    <s v="TELHA GALVALUME TP 40 0,43MM 3,00M"/>
    <x v="41"/>
    <n v="33"/>
  </r>
  <r>
    <x v="18"/>
    <s v="TELHA GALVALUME TP 40 0,43MM 8,00M"/>
    <x v="41"/>
    <n v="15"/>
  </r>
  <r>
    <x v="5"/>
    <s v="TELHA GALVALUME OND 17 0,43MM 5,00M"/>
    <x v="41"/>
    <n v="1"/>
  </r>
  <r>
    <x v="0"/>
    <s v="TELHA GALVALUME TP 40 0,43MM"/>
    <x v="42"/>
    <n v="620.4"/>
  </r>
  <r>
    <x v="10"/>
    <s v="TELHA GALVALUME OND 17 0,43MM 6,00M"/>
    <x v="42"/>
    <n v="224"/>
  </r>
  <r>
    <x v="2"/>
    <s v="TELHA GALVALUME TP 40 0,43MM 6,00M"/>
    <x v="42"/>
    <n v="176"/>
  </r>
  <r>
    <x v="4"/>
    <s v="TELHA GALVALUME TP 40 0,43MM 5,00M"/>
    <x v="42"/>
    <n v="147"/>
  </r>
  <r>
    <x v="1"/>
    <s v="TELHA GALVALUME TP 40 0,43MM 4,00M"/>
    <x v="42"/>
    <n v="118"/>
  </r>
  <r>
    <x v="18"/>
    <s v="TELHA GALVALUME TP 40 0,43MM 8,00M"/>
    <x v="42"/>
    <n v="91"/>
  </r>
  <r>
    <x v="3"/>
    <s v="TELHA GALVALUME TP 40 0,43MM 3,00M"/>
    <x v="42"/>
    <n v="88"/>
  </r>
  <r>
    <x v="6"/>
    <s v="TELHA GALVALUME TP 40 0,43MM 7,00M"/>
    <x v="42"/>
    <n v="85"/>
  </r>
  <r>
    <x v="17"/>
    <s v="TELHA CUMEEIRA GL TRAP 40 ABAS 300MM"/>
    <x v="42"/>
    <n v="66"/>
  </r>
  <r>
    <x v="8"/>
    <s v="TELHA GALVALUME OND 17 0,43MM 7,00M"/>
    <x v="42"/>
    <n v="48"/>
  </r>
  <r>
    <x v="7"/>
    <s v="TELHA GALVALUME OND 17 0,43MM 4,00M"/>
    <x v="42"/>
    <n v="40"/>
  </r>
  <r>
    <x v="16"/>
    <s v="TELHA GALVALUME OND 17 0,43MM 8,00M"/>
    <x v="42"/>
    <n v="38"/>
  </r>
  <r>
    <x v="5"/>
    <s v="TELHA GALVALUME OND 17 0,43MM 5,00M"/>
    <x v="42"/>
    <n v="22"/>
  </r>
  <r>
    <x v="9"/>
    <s v="TELHA GALVALUME OND 17 0,43MM 3,00M"/>
    <x v="42"/>
    <n v="6"/>
  </r>
  <r>
    <x v="0"/>
    <s v="TELHA GALVALUME TP 40 0,43MM"/>
    <x v="43"/>
    <n v="631.95000000000005"/>
  </r>
  <r>
    <x v="6"/>
    <s v="TELHA GALVALUME TP 40 0,43MM 7,00M"/>
    <x v="43"/>
    <n v="57"/>
  </r>
  <r>
    <x v="3"/>
    <s v="TELHA GALVALUME TP 40 0,43MM 3,00M"/>
    <x v="43"/>
    <n v="43"/>
  </r>
  <r>
    <x v="4"/>
    <s v="TELHA GALVALUME TP 40 0,43MM 5,00M"/>
    <x v="43"/>
    <n v="5"/>
  </r>
  <r>
    <x v="0"/>
    <s v="TELHA GALVALUME TP 40 0,43MM"/>
    <x v="44"/>
    <n v="470.4"/>
  </r>
  <r>
    <x v="17"/>
    <s v="TELHA CUMEEIRA GL TRAP 40 ABAS 300MM"/>
    <x v="44"/>
    <n v="44"/>
  </r>
  <r>
    <x v="1"/>
    <s v="TELHA GALVALUME TP 40 0,43MM 4,00M"/>
    <x v="44"/>
    <n v="39"/>
  </r>
  <r>
    <x v="3"/>
    <s v="TELHA GALVALUME TP 40 0,43MM 3,00M"/>
    <x v="44"/>
    <n v="26"/>
  </r>
  <r>
    <x v="4"/>
    <s v="TELHA GALVALUME TP 40 0,43MM 5,00M"/>
    <x v="44"/>
    <n v="25"/>
  </r>
  <r>
    <x v="2"/>
    <s v="TELHA GALVALUME TP 40 0,43MM 6,00M"/>
    <x v="44"/>
    <n v="24"/>
  </r>
  <r>
    <x v="10"/>
    <s v="TELHA GALVALUME OND 17 0,43MM 6,00M"/>
    <x v="44"/>
    <n v="5"/>
  </r>
  <r>
    <x v="5"/>
    <s v="TELHA GALVALUME OND 17 0,43MM 5,00M"/>
    <x v="44"/>
    <n v="3"/>
  </r>
  <r>
    <x v="0"/>
    <s v="TELHA GALVALUME TP 40 0,43MM"/>
    <x v="45"/>
    <n v="523.5"/>
  </r>
  <r>
    <x v="15"/>
    <s v="TELHA GALVALUME OND 17 0,43MM"/>
    <x v="45"/>
    <n v="223.9"/>
  </r>
  <r>
    <x v="6"/>
    <s v="TELHA GALVALUME TP 40 0,43MM 7,00M"/>
    <x v="45"/>
    <n v="140"/>
  </r>
  <r>
    <x v="10"/>
    <s v="TELHA GALVALUME OND 17 0,43MM 6,00M"/>
    <x v="45"/>
    <n v="131"/>
  </r>
  <r>
    <x v="4"/>
    <s v="TELHA GALVALUME TP 40 0,43MM 5,00M"/>
    <x v="45"/>
    <n v="109"/>
  </r>
  <r>
    <x v="1"/>
    <s v="TELHA GALVALUME TP 40 0,43MM 4,00M"/>
    <x v="45"/>
    <n v="85"/>
  </r>
  <r>
    <x v="2"/>
    <s v="TELHA GALVALUME TP 40 0,43MM 6,00M"/>
    <x v="45"/>
    <n v="78"/>
  </r>
  <r>
    <x v="17"/>
    <s v="TELHA CUMEEIRA GL TRAP 40 ABAS 300MM"/>
    <x v="45"/>
    <n v="58"/>
  </r>
  <r>
    <x v="5"/>
    <s v="TELHA GALVALUME OND 17 0,43MM 5,00M"/>
    <x v="45"/>
    <n v="54"/>
  </r>
  <r>
    <x v="7"/>
    <s v="TELHA GALVALUME OND 17 0,43MM 4,00M"/>
    <x v="45"/>
    <n v="21"/>
  </r>
  <r>
    <x v="8"/>
    <s v="TELHA GALVALUME OND 17 0,43MM 7,00M"/>
    <x v="45"/>
    <n v="16"/>
  </r>
  <r>
    <x v="3"/>
    <s v="TELHA GALVALUME TP 40 0,43MM 3,00M"/>
    <x v="45"/>
    <n v="16"/>
  </r>
  <r>
    <x v="18"/>
    <s v="TELHA GALVALUME TP 40 0,43MM 8,00M"/>
    <x v="45"/>
    <n v="5"/>
  </r>
  <r>
    <x v="16"/>
    <s v="TELHA GALVALUME OND 17 0,43MM 8,00M"/>
    <x v="45"/>
    <n v="3"/>
  </r>
  <r>
    <x v="9"/>
    <s v="TELHA GALVALUME OND 17 0,43MM 3,00M"/>
    <x v="45"/>
    <n v="2"/>
  </r>
  <r>
    <x v="2"/>
    <s v="TELHA GALVALUME TP 40 0,43MM 6,00M"/>
    <x v="46"/>
    <n v="278"/>
  </r>
  <r>
    <x v="4"/>
    <s v="TELHA GALVALUME TP 40 0,43MM 5,00M"/>
    <x v="46"/>
    <n v="160"/>
  </r>
  <r>
    <x v="0"/>
    <s v="TELHA GALVALUME TP 40 0,43MM"/>
    <x v="46"/>
    <n v="124"/>
  </r>
  <r>
    <x v="6"/>
    <s v="TELHA GALVALUME TP 40 0,43MM 7,00M"/>
    <x v="46"/>
    <n v="36"/>
  </r>
  <r>
    <x v="17"/>
    <s v="TELHA CUMEEIRA GL TRAP 40 ABAS 300MM"/>
    <x v="46"/>
    <n v="12"/>
  </r>
  <r>
    <x v="1"/>
    <s v="TELHA GALVALUME TP 40 0,43MM 4,00M"/>
    <x v="46"/>
    <n v="12"/>
  </r>
  <r>
    <x v="3"/>
    <s v="TELHA GALVALUME TP 40 0,43MM 3,00M"/>
    <x v="46"/>
    <n v="10"/>
  </r>
  <r>
    <x v="0"/>
    <s v="TELHA GALVALUME TP 40 0,43MM"/>
    <x v="47"/>
    <n v="214.9"/>
  </r>
  <r>
    <x v="1"/>
    <s v="TELHA GALVALUME TP 40 0,43MM 4,00M"/>
    <x v="47"/>
    <n v="79"/>
  </r>
  <r>
    <x v="10"/>
    <s v="TELHA GALVALUME OND 17 0,43MM 6,00M"/>
    <x v="47"/>
    <n v="47"/>
  </r>
  <r>
    <x v="2"/>
    <s v="TELHA GALVALUME TP 40 0,43MM 6,00M"/>
    <x v="47"/>
    <n v="42"/>
  </r>
  <r>
    <x v="18"/>
    <s v="TELHA GALVALUME TP 40 0,43MM 8,00M"/>
    <x v="47"/>
    <n v="42"/>
  </r>
  <r>
    <x v="6"/>
    <s v="TELHA GALVALUME TP 40 0,43MM 7,00M"/>
    <x v="47"/>
    <n v="40"/>
  </r>
  <r>
    <x v="4"/>
    <s v="TELHA GALVALUME TP 40 0,43MM 5,00M"/>
    <x v="47"/>
    <n v="34"/>
  </r>
  <r>
    <x v="5"/>
    <s v="TELHA GALVALUME OND 17 0,43MM 5,00M"/>
    <x v="47"/>
    <n v="34"/>
  </r>
  <r>
    <x v="8"/>
    <s v="TELHA GALVALUME OND 17 0,43MM 7,00M"/>
    <x v="47"/>
    <n v="22"/>
  </r>
  <r>
    <x v="17"/>
    <s v="TELHA CUMEEIRA GL TRAP 40 ABAS 300MM"/>
    <x v="47"/>
    <n v="20"/>
  </r>
  <r>
    <x v="7"/>
    <s v="TELHA GALVALUME OND 17 0,43MM 4,00M"/>
    <x v="47"/>
    <n v="12"/>
  </r>
  <r>
    <x v="0"/>
    <s v="TELHA GALVALUME TP 40 0,43MM"/>
    <x v="48"/>
    <n v="365"/>
  </r>
  <r>
    <x v="6"/>
    <s v="TELHA GALVALUME TP 40 0,43MM 7,00M"/>
    <x v="48"/>
    <n v="70"/>
  </r>
  <r>
    <x v="2"/>
    <s v="TELHA GALVALUME TP 40 0,43MM 6,00M"/>
    <x v="48"/>
    <n v="67"/>
  </r>
  <r>
    <x v="17"/>
    <s v="TELHA CUMEEIRA GL TRAP 40 ABAS 300MM"/>
    <x v="48"/>
    <n v="20"/>
  </r>
  <r>
    <x v="4"/>
    <s v="TELHA GALVALUME TP 40 0,43MM 5,00M"/>
    <x v="48"/>
    <n v="18"/>
  </r>
  <r>
    <x v="1"/>
    <s v="TELHA GALVALUME TP 40 0,43MM 4,00M"/>
    <x v="48"/>
    <n v="14"/>
  </r>
  <r>
    <x v="18"/>
    <s v="TELHA GALVALUME TP 40 0,43MM 8,00M"/>
    <x v="48"/>
    <n v="11"/>
  </r>
  <r>
    <x v="3"/>
    <s v="TELHA GALVALUME TP 40 0,43MM 3,00M"/>
    <x v="48"/>
    <n v="4"/>
  </r>
  <r>
    <x v="7"/>
    <s v="TELHA GALVALUME OND 17 0,43MM 4,00M"/>
    <x v="48"/>
    <n v="4"/>
  </r>
  <r>
    <x v="10"/>
    <s v="TELHA GALVALUME OND 17 0,43MM 6,00M"/>
    <x v="48"/>
    <n v="2"/>
  </r>
  <r>
    <x v="5"/>
    <s v="TELHA GALVALUME OND 17 0,43MM 5,00M"/>
    <x v="48"/>
    <n v="1"/>
  </r>
  <r>
    <x v="0"/>
    <s v="TELHA GALVALUME TP 40 0,43MM"/>
    <x v="49"/>
    <n v="252.20000000000002"/>
  </r>
  <r>
    <x v="2"/>
    <s v="TELHA GALVALUME TP 40 0,43MM 6,00M"/>
    <x v="49"/>
    <n v="166"/>
  </r>
  <r>
    <x v="4"/>
    <s v="TELHA GALVALUME TP 40 0,43MM 5,00M"/>
    <x v="49"/>
    <n v="125"/>
  </r>
  <r>
    <x v="1"/>
    <s v="TELHA GALVALUME TP 40 0,43MM 4,00M"/>
    <x v="49"/>
    <n v="104"/>
  </r>
  <r>
    <x v="15"/>
    <s v="TELHA GALVALUME OND 17 0,43MM"/>
    <x v="49"/>
    <n v="66"/>
  </r>
  <r>
    <x v="18"/>
    <s v="TELHA GALVALUME TP 40 0,43MM 8,00M"/>
    <x v="49"/>
    <n v="32"/>
  </r>
  <r>
    <x v="9"/>
    <s v="TELHA GALVALUME OND 17 0,43MM 3,00M"/>
    <x v="49"/>
    <n v="26"/>
  </r>
  <r>
    <x v="10"/>
    <s v="TELHA GALVALUME OND 17 0,43MM 6,00M"/>
    <x v="49"/>
    <n v="23"/>
  </r>
  <r>
    <x v="6"/>
    <s v="TELHA GALVALUME TP 40 0,43MM 7,00M"/>
    <x v="49"/>
    <n v="23"/>
  </r>
  <r>
    <x v="3"/>
    <s v="TELHA GALVALUME TP 40 0,43MM 3,00M"/>
    <x v="49"/>
    <n v="12"/>
  </r>
  <r>
    <x v="7"/>
    <s v="TELHA GALVALUME OND 17 0,43MM 4,00M"/>
    <x v="49"/>
    <n v="9"/>
  </r>
  <r>
    <x v="8"/>
    <s v="TELHA GALVALUME OND 17 0,43MM 7,00M"/>
    <x v="49"/>
    <n v="2"/>
  </r>
  <r>
    <x v="5"/>
    <s v="TELHA GALVALUME OND 17 0,43MM 5,00M"/>
    <x v="49"/>
    <n v="2"/>
  </r>
  <r>
    <x v="0"/>
    <s v="TELHA GALVALUME TP 40 0,43MM"/>
    <x v="50"/>
    <n v="371.90000000000003"/>
  </r>
  <r>
    <x v="3"/>
    <s v="TELHA GALVALUME TP 40 0,43MM 3,00M"/>
    <x v="50"/>
    <n v="70"/>
  </r>
  <r>
    <x v="2"/>
    <s v="TELHA GALVALUME TP 40 0,43MM 6,00M"/>
    <x v="50"/>
    <n v="67"/>
  </r>
  <r>
    <x v="4"/>
    <s v="TELHA GALVALUME TP 40 0,43MM 5,00M"/>
    <x v="50"/>
    <n v="38"/>
  </r>
  <r>
    <x v="1"/>
    <s v="TELHA GALVALUME TP 40 0,43MM 4,00M"/>
    <x v="50"/>
    <n v="29"/>
  </r>
  <r>
    <x v="5"/>
    <s v="TELHA GALVALUME OND 17 0,43MM 5,00M"/>
    <x v="50"/>
    <n v="28"/>
  </r>
  <r>
    <x v="6"/>
    <s v="TELHA GALVALUME TP 40 0,43MM 7,00M"/>
    <x v="50"/>
    <n v="13"/>
  </r>
  <r>
    <x v="9"/>
    <s v="TELHA GALVALUME OND 17 0,43MM 3,00M"/>
    <x v="50"/>
    <n v="11"/>
  </r>
  <r>
    <x v="17"/>
    <s v="TELHA CUMEEIRA GL TRAP 40 ABAS 300MM"/>
    <x v="50"/>
    <n v="9"/>
  </r>
  <r>
    <x v="8"/>
    <s v="TELHA GALVALUME OND 17 0,43MM 7,00M"/>
    <x v="50"/>
    <n v="8"/>
  </r>
  <r>
    <x v="7"/>
    <s v="TELHA GALVALUME OND 17 0,43MM 4,00M"/>
    <x v="50"/>
    <n v="4"/>
  </r>
  <r>
    <x v="0"/>
    <s v="TELHA GALVALUME TP 40 0,43MM"/>
    <x v="51"/>
    <n v="465.1"/>
  </r>
  <r>
    <x v="15"/>
    <s v="TELHA GALVALUME OND 17 0,43MM"/>
    <x v="51"/>
    <n v="74"/>
  </r>
  <r>
    <x v="6"/>
    <s v="TELHA GALVALUME TP 40 0,43MM 7,00M"/>
    <x v="51"/>
    <n v="35"/>
  </r>
  <r>
    <x v="4"/>
    <s v="TELHA GALVALUME TP 40 0,43MM 5,00M"/>
    <x v="51"/>
    <n v="32"/>
  </r>
  <r>
    <x v="17"/>
    <s v="TELHA CUMEEIRA GL TRAP 40 ABAS 300MM"/>
    <x v="51"/>
    <n v="29.25"/>
  </r>
  <r>
    <x v="10"/>
    <s v="TELHA GALVALUME OND 17 0,43MM 6,00M"/>
    <x v="51"/>
    <n v="22"/>
  </r>
  <r>
    <x v="2"/>
    <s v="TELHA GALVALUME TP 40 0,43MM 6,00M"/>
    <x v="51"/>
    <n v="22"/>
  </r>
  <r>
    <x v="18"/>
    <s v="TELHA GALVALUME TP 40 0,43MM 8,00M"/>
    <x v="51"/>
    <n v="11"/>
  </r>
  <r>
    <x v="1"/>
    <s v="TELHA GALVALUME TP 40 0,43MM 4,00M"/>
    <x v="51"/>
    <n v="11"/>
  </r>
  <r>
    <x v="16"/>
    <s v="TELHA GALVALUME OND 17 0,43MM 8,00M"/>
    <x v="51"/>
    <n v="5"/>
  </r>
  <r>
    <x v="3"/>
    <s v="TELHA GALVALUME TP 40 0,43MM 3,00M"/>
    <x v="51"/>
    <n v="3"/>
  </r>
  <r>
    <x v="8"/>
    <s v="TELHA GALVALUME OND 17 0,43MM 7,00M"/>
    <x v="51"/>
    <n v="2"/>
  </r>
  <r>
    <x v="0"/>
    <s v="TELHA GALVALUME TP 40 0,43MM"/>
    <x v="52"/>
    <n v="348"/>
  </r>
  <r>
    <x v="2"/>
    <s v="TELHA GALVALUME TP 40 0,43MM 6,00M"/>
    <x v="52"/>
    <n v="86"/>
  </r>
  <r>
    <x v="9"/>
    <s v="TELHA GALVALUME OND 17 0,43MM 3,00M"/>
    <x v="52"/>
    <n v="22"/>
  </r>
  <r>
    <x v="1"/>
    <s v="TELHA GALVALUME TP 40 0,43MM 4,00M"/>
    <x v="52"/>
    <n v="16"/>
  </r>
  <r>
    <x v="3"/>
    <s v="TELHA GALVALUME TP 40 0,43MM 3,00M"/>
    <x v="52"/>
    <n v="16"/>
  </r>
  <r>
    <x v="6"/>
    <s v="TELHA GALVALUME TP 40 0,43MM 7,00M"/>
    <x v="52"/>
    <n v="13"/>
  </r>
  <r>
    <x v="4"/>
    <s v="TELHA GALVALUME TP 40 0,43MM 5,00M"/>
    <x v="52"/>
    <n v="11"/>
  </r>
  <r>
    <x v="18"/>
    <s v="TELHA GALVALUME TP 40 0,43MM 8,00M"/>
    <x v="52"/>
    <n v="10"/>
  </r>
  <r>
    <x v="16"/>
    <s v="TELHA GALVALUME OND 17 0,43MM 8,00M"/>
    <x v="52"/>
    <n v="3"/>
  </r>
  <r>
    <x v="0"/>
    <s v="TELHA GALVALUME TP 40 0,43MM"/>
    <x v="53"/>
    <n v="446.4"/>
  </r>
  <r>
    <x v="2"/>
    <s v="TELHA GALVALUME TP 40 0,43MM 6,00M"/>
    <x v="53"/>
    <n v="216"/>
  </r>
  <r>
    <x v="4"/>
    <s v="TELHA GALVALUME TP 40 0,43MM 5,00M"/>
    <x v="53"/>
    <n v="144"/>
  </r>
  <r>
    <x v="1"/>
    <s v="TELHA GALVALUME TP 40 0,43MM 4,00M"/>
    <x v="53"/>
    <n v="94"/>
  </r>
  <r>
    <x v="3"/>
    <s v="TELHA GALVALUME TP 40 0,43MM 3,00M"/>
    <x v="53"/>
    <n v="76"/>
  </r>
  <r>
    <x v="6"/>
    <s v="TELHA GALVALUME TP 40 0,43MM 7,00M"/>
    <x v="53"/>
    <n v="28"/>
  </r>
  <r>
    <x v="17"/>
    <s v="TELHA CUMEEIRA GL TRAP 40 ABAS 300MM"/>
    <x v="53"/>
    <n v="23"/>
  </r>
  <r>
    <x v="18"/>
    <s v="TELHA GALVALUME TP 40 0,43MM 8,00M"/>
    <x v="53"/>
    <n v="10"/>
  </r>
  <r>
    <x v="7"/>
    <s v="TELHA GALVALUME OND 17 0,43MM 4,00M"/>
    <x v="53"/>
    <n v="4"/>
  </r>
  <r>
    <x v="5"/>
    <s v="TELHA GALVALUME OND 17 0,43MM 5,00M"/>
    <x v="53"/>
    <n v="3"/>
  </r>
  <r>
    <x v="10"/>
    <s v="TELHA GALVALUME OND 17 0,43MM 6,00M"/>
    <x v="53"/>
    <n v="2"/>
  </r>
  <r>
    <x v="0"/>
    <s v="TELHA GALVALUME TP 40 0,43MM"/>
    <x v="54"/>
    <n v="659.2"/>
  </r>
  <r>
    <x v="1"/>
    <s v="TELHA GALVALUME TP 40 0,43MM 4,00M"/>
    <x v="54"/>
    <n v="110"/>
  </r>
  <r>
    <x v="2"/>
    <s v="TELHA GALVALUME TP 40 0,43MM 6,00M"/>
    <x v="54"/>
    <n v="92"/>
  </r>
  <r>
    <x v="15"/>
    <s v="TELHA GALVALUME OND 17 0,43MM"/>
    <x v="54"/>
    <n v="89.4"/>
  </r>
  <r>
    <x v="3"/>
    <s v="TELHA GALVALUME TP 40 0,43MM 3,00M"/>
    <x v="54"/>
    <n v="79"/>
  </r>
  <r>
    <x v="6"/>
    <s v="TELHA GALVALUME TP 40 0,43MM 7,00M"/>
    <x v="54"/>
    <n v="78"/>
  </r>
  <r>
    <x v="8"/>
    <s v="TELHA GALVALUME OND 17 0,43MM 7,00M"/>
    <x v="54"/>
    <n v="58"/>
  </r>
  <r>
    <x v="17"/>
    <s v="TELHA CUMEEIRA GL TRAP 40 ABAS 300MM"/>
    <x v="54"/>
    <n v="53"/>
  </r>
  <r>
    <x v="7"/>
    <s v="TELHA GALVALUME OND 17 0,43MM 4,00M"/>
    <x v="54"/>
    <n v="34"/>
  </r>
  <r>
    <x v="4"/>
    <s v="TELHA GALVALUME TP 40 0,43MM 5,00M"/>
    <x v="54"/>
    <n v="30"/>
  </r>
  <r>
    <x v="18"/>
    <s v="TELHA GALVALUME TP 40 0,43MM 8,00M"/>
    <x v="54"/>
    <n v="28"/>
  </r>
  <r>
    <x v="10"/>
    <s v="TELHA GALVALUME OND 17 0,43MM 6,00M"/>
    <x v="54"/>
    <n v="22"/>
  </r>
  <r>
    <x v="23"/>
    <s v="TELHA GALVALUME #0,32 TRAP 40 6,00M"/>
    <x v="54"/>
    <n v="16"/>
  </r>
  <r>
    <x v="5"/>
    <s v="TELHA GALVALUME OND 17 0,43MM 5,00M"/>
    <x v="54"/>
    <n v="9"/>
  </r>
  <r>
    <x v="0"/>
    <s v="TELHA GALVALUME TP 40 0,43MM"/>
    <x v="55"/>
    <n v="105.5"/>
  </r>
  <r>
    <x v="1"/>
    <s v="TELHA GALVALUME TP 40 0,43MM 4,00M"/>
    <x v="55"/>
    <n v="84"/>
  </r>
  <r>
    <x v="2"/>
    <s v="TELHA GALVALUME TP 40 0,43MM 6,00M"/>
    <x v="55"/>
    <n v="75"/>
  </r>
  <r>
    <x v="6"/>
    <s v="TELHA GALVALUME TP 40 0,43MM 7,00M"/>
    <x v="55"/>
    <n v="59"/>
  </r>
  <r>
    <x v="7"/>
    <s v="TELHA GALVALUME OND 17 0,43MM 4,00M"/>
    <x v="55"/>
    <n v="44"/>
  </r>
  <r>
    <x v="4"/>
    <s v="TELHA GALVALUME TP 40 0,43MM 5,00M"/>
    <x v="55"/>
    <n v="44"/>
  </r>
  <r>
    <x v="5"/>
    <s v="TELHA GALVALUME OND 17 0,43MM 5,00M"/>
    <x v="55"/>
    <n v="37"/>
  </r>
  <r>
    <x v="18"/>
    <s v="TELHA GALVALUME TP 40 0,43MM 8,00M"/>
    <x v="55"/>
    <n v="36"/>
  </r>
  <r>
    <x v="9"/>
    <s v="TELHA GALVALUME OND 17 0,43MM 3,00M"/>
    <x v="55"/>
    <n v="15"/>
  </r>
  <r>
    <x v="17"/>
    <s v="TELHA CUMEEIRA GL TRAP 40 ABAS 300MM"/>
    <x v="55"/>
    <n v="14"/>
  </r>
  <r>
    <x v="10"/>
    <s v="TELHA GALVALUME OND 17 0,43MM 6,00M"/>
    <x v="55"/>
    <n v="13"/>
  </r>
  <r>
    <x v="3"/>
    <s v="TELHA GALVALUME TP 40 0,43MM 3,00M"/>
    <x v="55"/>
    <n v="8"/>
  </r>
  <r>
    <x v="15"/>
    <s v="TELHA GALVALUME OND 17 0,43MM"/>
    <x v="56"/>
    <n v="396.02"/>
  </r>
  <r>
    <x v="0"/>
    <s v="TELHA GALVALUME TP 40 0,43MM"/>
    <x v="56"/>
    <n v="315.5"/>
  </r>
  <r>
    <x v="4"/>
    <s v="TELHA GALVALUME TP 40 0,43MM 5,00M"/>
    <x v="56"/>
    <n v="89"/>
  </r>
  <r>
    <x v="2"/>
    <s v="TELHA GALVALUME TP 40 0,43MM 6,00M"/>
    <x v="56"/>
    <n v="64"/>
  </r>
  <r>
    <x v="1"/>
    <s v="TELHA GALVALUME TP 40 0,43MM 4,00M"/>
    <x v="56"/>
    <n v="55"/>
  </r>
  <r>
    <x v="5"/>
    <s v="TELHA GALVALUME OND 17 0,43MM 5,00M"/>
    <x v="56"/>
    <n v="52"/>
  </r>
  <r>
    <x v="3"/>
    <s v="TELHA GALVALUME TP 40 0,43MM 3,00M"/>
    <x v="56"/>
    <n v="29"/>
  </r>
  <r>
    <x v="16"/>
    <s v="TELHA GALVALUME OND 17 0,43MM 8,00M"/>
    <x v="56"/>
    <n v="20"/>
  </r>
  <r>
    <x v="8"/>
    <s v="TELHA GALVALUME OND 17 0,43MM 7,00M"/>
    <x v="56"/>
    <n v="18"/>
  </r>
  <r>
    <x v="10"/>
    <s v="TELHA GALVALUME OND 17 0,43MM 6,00M"/>
    <x v="56"/>
    <n v="12"/>
  </r>
  <r>
    <x v="9"/>
    <s v="TELHA GALVALUME OND 17 0,43MM 3,00M"/>
    <x v="56"/>
    <n v="8"/>
  </r>
  <r>
    <x v="23"/>
    <s v="TELHA GALVALUME #0,32 TRAP 40 6,00M"/>
    <x v="56"/>
    <n v="3"/>
  </r>
  <r>
    <x v="6"/>
    <s v="TELHA GALVALUME TP 40 0,43MM 7,00M"/>
    <x v="56"/>
    <n v="1"/>
  </r>
  <r>
    <x v="15"/>
    <s v="TELHA GALVALUME OND 17 0,43MM"/>
    <x v="57"/>
    <n v="89.4"/>
  </r>
  <r>
    <x v="4"/>
    <s v="TELHA GALVALUME TP 40 0,43MM 5,00M"/>
    <x v="57"/>
    <n v="31"/>
  </r>
  <r>
    <x v="2"/>
    <s v="TELHA GALVALUME TP 40 0,43MM 6,00M"/>
    <x v="57"/>
    <n v="28"/>
  </r>
  <r>
    <x v="6"/>
    <s v="TELHA GALVALUME TP 40 0,43MM 7,00M"/>
    <x v="57"/>
    <n v="19"/>
  </r>
  <r>
    <x v="8"/>
    <s v="TELHA GALVALUME OND 17 0,43MM 7,00M"/>
    <x v="57"/>
    <n v="17"/>
  </r>
  <r>
    <x v="20"/>
    <s v="TELHA CUMEEIRA GL OND 17 ABAS 300MM"/>
    <x v="57"/>
    <n v="17"/>
  </r>
  <r>
    <x v="17"/>
    <s v="TELHA CUMEEIRA GL TRAP 40 ABAS 300MM"/>
    <x v="57"/>
    <n v="13"/>
  </r>
  <r>
    <x v="18"/>
    <s v="TELHA GALVALUME TP 40 0,43MM 8,00M"/>
    <x v="57"/>
    <n v="12"/>
  </r>
  <r>
    <x v="1"/>
    <s v="TELHA GALVALUME TP 40 0,43MM 4,00M"/>
    <x v="57"/>
    <n v="4"/>
  </r>
  <r>
    <x v="3"/>
    <s v="TELHA GALVALUME TP 40 0,43MM 3,00M"/>
    <x v="57"/>
    <n v="3"/>
  </r>
  <r>
    <x v="0"/>
    <s v="TELHA GALVALUME TP 40 0,43MM"/>
    <x v="58"/>
    <n v="580.6"/>
  </r>
  <r>
    <x v="2"/>
    <s v="TELHA GALVALUME TP 40 0,43MM 6,00M"/>
    <x v="58"/>
    <n v="162"/>
  </r>
  <r>
    <x v="1"/>
    <s v="TELHA GALVALUME TP 40 0,43MM 4,00M"/>
    <x v="58"/>
    <n v="60"/>
  </r>
  <r>
    <x v="6"/>
    <s v="TELHA GALVALUME TP 40 0,43MM 7,00M"/>
    <x v="58"/>
    <n v="47"/>
  </r>
  <r>
    <x v="8"/>
    <s v="TELHA GALVALUME OND 17 0,43MM 7,00M"/>
    <x v="58"/>
    <n v="38"/>
  </r>
  <r>
    <x v="4"/>
    <s v="TELHA GALVALUME TP 40 0,43MM 5,00M"/>
    <x v="58"/>
    <n v="38"/>
  </r>
  <r>
    <x v="9"/>
    <s v="TELHA GALVALUME OND 17 0,43MM 3,00M"/>
    <x v="58"/>
    <n v="21"/>
  </r>
  <r>
    <x v="17"/>
    <s v="TELHA CUMEEIRA GL TRAP 40 ABAS 300MM"/>
    <x v="58"/>
    <n v="11"/>
  </r>
  <r>
    <x v="7"/>
    <s v="TELHA GALVALUME OND 17 0,43MM 4,00M"/>
    <x v="58"/>
    <n v="9"/>
  </r>
  <r>
    <x v="3"/>
    <s v="TELHA GALVALUME TP 40 0,43MM 3,00M"/>
    <x v="58"/>
    <n v="6"/>
  </r>
  <r>
    <x v="5"/>
    <s v="TELHA GALVALUME OND 17 0,43MM 5,00M"/>
    <x v="58"/>
    <n v="5"/>
  </r>
  <r>
    <x v="10"/>
    <s v="TELHA GALVALUME OND 17 0,43MM 6,00M"/>
    <x v="58"/>
    <n v="4"/>
  </r>
  <r>
    <x v="2"/>
    <s v="TELHA GALVALUME TP 40 0,43MM 6,00M"/>
    <x v="59"/>
    <n v="81"/>
  </r>
  <r>
    <x v="6"/>
    <s v="TELHA GALVALUME TP 40 0,43MM 7,00M"/>
    <x v="59"/>
    <n v="30"/>
  </r>
  <r>
    <x v="18"/>
    <s v="TELHA GALVALUME TP 40 0,43MM 8,00M"/>
    <x v="59"/>
    <n v="17"/>
  </r>
  <r>
    <x v="3"/>
    <s v="TELHA GALVALUME TP 40 0,43MM 3,00M"/>
    <x v="59"/>
    <n v="17"/>
  </r>
  <r>
    <x v="17"/>
    <s v="TELHA CUMEEIRA GL TRAP 40 ABAS 300MM"/>
    <x v="59"/>
    <n v="12"/>
  </r>
  <r>
    <x v="1"/>
    <s v="TELHA GALVALUME TP 40 0,43MM 4,00M"/>
    <x v="59"/>
    <n v="9"/>
  </r>
  <r>
    <x v="4"/>
    <s v="TELHA GALVALUME TP 40 0,43MM 5,00M"/>
    <x v="59"/>
    <n v="8"/>
  </r>
  <r>
    <x v="10"/>
    <s v="TELHA GALVALUME OND 17 0,43MM 6,00M"/>
    <x v="59"/>
    <n v="6"/>
  </r>
  <r>
    <x v="0"/>
    <s v="TELHA GALVALUME TP 40 0,43MM"/>
    <x v="60"/>
    <n v="293.60000000000002"/>
  </r>
  <r>
    <x v="4"/>
    <s v="TELHA GALVALUME TP 40 0,43MM 5,00M"/>
    <x v="60"/>
    <n v="61"/>
  </r>
  <r>
    <x v="1"/>
    <s v="TELHA GALVALUME TP 40 0,43MM 4,00M"/>
    <x v="60"/>
    <n v="51"/>
  </r>
  <r>
    <x v="10"/>
    <s v="TELHA GALVALUME OND 17 0,43MM 6,00M"/>
    <x v="60"/>
    <n v="44"/>
  </r>
  <r>
    <x v="2"/>
    <s v="TELHA GALVALUME TP 40 0,43MM 6,00M"/>
    <x v="60"/>
    <n v="35"/>
  </r>
  <r>
    <x v="6"/>
    <s v="TELHA GALVALUME TP 40 0,43MM 7,00M"/>
    <x v="60"/>
    <n v="33"/>
  </r>
  <r>
    <x v="20"/>
    <s v="TELHA CUMEEIRA GL OND 17 ABAS 300MM"/>
    <x v="60"/>
    <n v="15"/>
  </r>
  <r>
    <x v="5"/>
    <s v="TELHA GALVALUME OND 17 0,43MM 5,00M"/>
    <x v="60"/>
    <n v="12"/>
  </r>
  <r>
    <x v="17"/>
    <s v="TELHA CUMEEIRA GL TRAP 40 ABAS 300MM"/>
    <x v="60"/>
    <n v="12"/>
  </r>
  <r>
    <x v="8"/>
    <s v="TELHA GALVALUME OND 17 0,43MM 7,00M"/>
    <x v="60"/>
    <n v="10"/>
  </r>
  <r>
    <x v="9"/>
    <s v="TELHA GALVALUME OND 17 0,43MM 3,00M"/>
    <x v="60"/>
    <n v="8"/>
  </r>
  <r>
    <x v="3"/>
    <s v="TELHA GALVALUME TP 40 0,43MM 3,00M"/>
    <x v="60"/>
    <n v="7"/>
  </r>
  <r>
    <x v="7"/>
    <s v="TELHA GALVALUME OND 17 0,43MM 4,00M"/>
    <x v="60"/>
    <n v="5"/>
  </r>
  <r>
    <x v="2"/>
    <s v="TELHA GALVALUME TP 40 0,43MM 6,00M"/>
    <x v="61"/>
    <n v="97"/>
  </r>
  <r>
    <x v="0"/>
    <s v="TELHA GALVALUME TP 40 0,43MM"/>
    <x v="61"/>
    <n v="96.2"/>
  </r>
  <r>
    <x v="17"/>
    <s v="TELHA CUMEEIRA GL TRAP 40 ABAS 300MM"/>
    <x v="61"/>
    <n v="61"/>
  </r>
  <r>
    <x v="1"/>
    <s v="TELHA GALVALUME TP 40 0,43MM 4,00M"/>
    <x v="61"/>
    <n v="59"/>
  </r>
  <r>
    <x v="6"/>
    <s v="TELHA GALVALUME TP 40 0,43MM 7,00M"/>
    <x v="61"/>
    <n v="48"/>
  </r>
  <r>
    <x v="3"/>
    <s v="TELHA GALVALUME TP 40 0,43MM 3,00M"/>
    <x v="61"/>
    <n v="15"/>
  </r>
  <r>
    <x v="16"/>
    <s v="TELHA GALVALUME OND 17 0,43MM 8,00M"/>
    <x v="61"/>
    <n v="8"/>
  </r>
  <r>
    <x v="4"/>
    <s v="TELHA GALVALUME TP 40 0,43MM 5,00M"/>
    <x v="61"/>
    <n v="4"/>
  </r>
  <r>
    <x v="10"/>
    <s v="TELHA GALVALUME OND 17 0,43MM 6,00M"/>
    <x v="61"/>
    <n v="4"/>
  </r>
  <r>
    <x v="9"/>
    <s v="TELHA GALVALUME OND 17 0,43MM 3,00M"/>
    <x v="61"/>
    <n v="3"/>
  </r>
  <r>
    <x v="4"/>
    <s v="TELHA GALVALUME TP 40 0,43MM 5,00M"/>
    <x v="62"/>
    <n v="58"/>
  </r>
  <r>
    <x v="6"/>
    <s v="TELHA GALVALUME TP 40 0,43MM 7,00M"/>
    <x v="62"/>
    <n v="44"/>
  </r>
  <r>
    <x v="15"/>
    <s v="TELHA GALVALUME OND 17 0,43MM"/>
    <x v="62"/>
    <n v="37.799999999999997"/>
  </r>
  <r>
    <x v="10"/>
    <s v="TELHA GALVALUME OND 17 0,43MM 6,00M"/>
    <x v="62"/>
    <n v="26"/>
  </r>
  <r>
    <x v="1"/>
    <s v="TELHA GALVALUME TP 40 0,43MM 4,00M"/>
    <x v="62"/>
    <n v="21"/>
  </r>
  <r>
    <x v="17"/>
    <s v="TELHA CUMEEIRA GL TRAP 40 ABAS 300MM"/>
    <x v="62"/>
    <n v="17"/>
  </r>
  <r>
    <x v="18"/>
    <s v="TELHA GALVALUME TP 40 0,43MM 8,00M"/>
    <x v="62"/>
    <n v="16"/>
  </r>
  <r>
    <x v="9"/>
    <s v="TELHA GALVALUME OND 17 0,43MM 3,00M"/>
    <x v="62"/>
    <n v="11"/>
  </r>
  <r>
    <x v="5"/>
    <s v="TELHA GALVALUME OND 17 0,43MM 5,00M"/>
    <x v="62"/>
    <n v="8"/>
  </r>
  <r>
    <x v="2"/>
    <s v="TELHA GALVALUME TP 40 0,43MM 6,00M"/>
    <x v="62"/>
    <n v="3"/>
  </r>
  <r>
    <x v="3"/>
    <s v="TELHA GALVALUME TP 40 0,43MM 3,00M"/>
    <x v="62"/>
    <n v="2"/>
  </r>
  <r>
    <x v="0"/>
    <s v="TELHA GALVALUME TP 40 0,43MM"/>
    <x v="63"/>
    <n v="435.6"/>
  </r>
  <r>
    <x v="1"/>
    <s v="TELHA GALVALUME TP 40 0,43MM 4,00M"/>
    <x v="63"/>
    <n v="75"/>
  </r>
  <r>
    <x v="4"/>
    <s v="TELHA GALVALUME TP 40 0,43MM 5,00M"/>
    <x v="63"/>
    <n v="61"/>
  </r>
  <r>
    <x v="17"/>
    <s v="TELHA CUMEEIRA GL TRAP 40 ABAS 300MM"/>
    <x v="63"/>
    <n v="42"/>
  </r>
  <r>
    <x v="2"/>
    <s v="TELHA GALVALUME TP 40 0,43MM 6,00M"/>
    <x v="63"/>
    <n v="38"/>
  </r>
  <r>
    <x v="3"/>
    <s v="TELHA GALVALUME TP 40 0,43MM 3,00M"/>
    <x v="63"/>
    <n v="28"/>
  </r>
  <r>
    <x v="6"/>
    <s v="TELHA GALVALUME TP 40 0,43MM 7,00M"/>
    <x v="63"/>
    <n v="18"/>
  </r>
  <r>
    <x v="23"/>
    <s v="TELHA GALVALUME #0,32 TRAP 40 6,00M"/>
    <x v="63"/>
    <n v="11"/>
  </r>
  <r>
    <x v="10"/>
    <s v="TELHA GALVALUME OND 17 0,43MM 6,00M"/>
    <x v="63"/>
    <n v="4"/>
  </r>
  <r>
    <x v="9"/>
    <s v="TELHA GALVALUME OND 17 0,43MM 3,00M"/>
    <x v="63"/>
    <n v="3"/>
  </r>
  <r>
    <x v="0"/>
    <s v="TELHA GALVALUME TP 40 0,43MM"/>
    <x v="64"/>
    <n v="169.48000000000002"/>
  </r>
  <r>
    <x v="15"/>
    <s v="TELHA GALVALUME OND 17 0,43MM"/>
    <x v="64"/>
    <n v="160.44999999999999"/>
  </r>
  <r>
    <x v="10"/>
    <s v="TELHA GALVALUME OND 17 0,43MM 6,00M"/>
    <x v="64"/>
    <n v="89"/>
  </r>
  <r>
    <x v="4"/>
    <s v="TELHA GALVALUME TP 40 0,43MM 5,00M"/>
    <x v="64"/>
    <n v="66"/>
  </r>
  <r>
    <x v="1"/>
    <s v="TELHA GALVALUME TP 40 0,43MM 4,00M"/>
    <x v="64"/>
    <n v="55"/>
  </r>
  <r>
    <x v="7"/>
    <s v="TELHA GALVALUME OND 17 0,43MM 4,00M"/>
    <x v="64"/>
    <n v="46"/>
  </r>
  <r>
    <x v="2"/>
    <s v="TELHA GALVALUME TP 40 0,43MM 6,00M"/>
    <x v="64"/>
    <n v="15"/>
  </r>
  <r>
    <x v="8"/>
    <s v="TELHA GALVALUME OND 17 0,43MM 7,00M"/>
    <x v="64"/>
    <n v="7"/>
  </r>
  <r>
    <x v="6"/>
    <s v="TELHA GALVALUME TP 40 0,43MM 7,00M"/>
    <x v="64"/>
    <n v="7"/>
  </r>
  <r>
    <x v="6"/>
    <s v="TELHA GALVALUME TP 40 0,43MM 7,00M"/>
    <x v="65"/>
    <n v="100"/>
  </r>
  <r>
    <x v="5"/>
    <s v="TELHA GALVALUME OND 17 0,43MM 5,00M"/>
    <x v="65"/>
    <n v="53"/>
  </r>
  <r>
    <x v="17"/>
    <s v="TELHA CUMEEIRA GL TRAP 40 ABAS 300MM"/>
    <x v="65"/>
    <n v="47"/>
  </r>
  <r>
    <x v="4"/>
    <s v="TELHA GALVALUME TP 40 0,43MM 5,00M"/>
    <x v="65"/>
    <n v="37"/>
  </r>
  <r>
    <x v="18"/>
    <s v="TELHA GALVALUME TP 40 0,43MM 8,00M"/>
    <x v="65"/>
    <n v="33"/>
  </r>
  <r>
    <x v="1"/>
    <s v="TELHA GALVALUME TP 40 0,43MM 4,00M"/>
    <x v="65"/>
    <n v="29"/>
  </r>
  <r>
    <x v="11"/>
    <s v="TELHA CUMEEIRA GL TRAP 40 ABAS 400MM"/>
    <x v="65"/>
    <n v="25"/>
  </r>
  <r>
    <x v="10"/>
    <s v="TELHA GALVALUME OND 17 0,43MM 6,00M"/>
    <x v="65"/>
    <n v="21"/>
  </r>
  <r>
    <x v="8"/>
    <s v="TELHA GALVALUME OND 17 0,43MM 7,00M"/>
    <x v="65"/>
    <n v="20"/>
  </r>
  <r>
    <x v="2"/>
    <s v="TELHA GALVALUME TP 40 0,43MM 6,00M"/>
    <x v="65"/>
    <n v="13"/>
  </r>
  <r>
    <x v="3"/>
    <s v="TELHA GALVALUME TP 40 0,43MM 3,00M"/>
    <x v="65"/>
    <n v="6"/>
  </r>
  <r>
    <x v="15"/>
    <s v="TELHA GALVALUME OND 17 0,43MM"/>
    <x v="66"/>
    <n v="1130.2"/>
  </r>
  <r>
    <x v="1"/>
    <s v="TELHA GALVALUME TP 40 0,43MM 4,00M"/>
    <x v="66"/>
    <n v="103"/>
  </r>
  <r>
    <x v="2"/>
    <s v="TELHA GALVALUME TP 40 0,43MM 6,00M"/>
    <x v="66"/>
    <n v="80"/>
  </r>
  <r>
    <x v="17"/>
    <s v="TELHA CUMEEIRA GL TRAP 40 ABAS 300MM"/>
    <x v="66"/>
    <n v="67"/>
  </r>
  <r>
    <x v="4"/>
    <s v="TELHA GALVALUME TP 40 0,43MM 5,00M"/>
    <x v="66"/>
    <n v="65"/>
  </r>
  <r>
    <x v="10"/>
    <s v="TELHA GALVALUME OND 17 0,43MM 6,00M"/>
    <x v="66"/>
    <n v="55"/>
  </r>
  <r>
    <x v="6"/>
    <s v="TELHA GALVALUME TP 40 0,43MM 7,00M"/>
    <x v="66"/>
    <n v="53"/>
  </r>
  <r>
    <x v="9"/>
    <s v="TELHA GALVALUME OND 17 0,43MM 3,00M"/>
    <x v="66"/>
    <n v="45"/>
  </r>
  <r>
    <x v="7"/>
    <s v="TELHA GALVALUME OND 17 0,43MM 4,00M"/>
    <x v="66"/>
    <n v="31"/>
  </r>
  <r>
    <x v="0"/>
    <s v="TELHA GALVALUME TP 40 0,43MM"/>
    <x v="66"/>
    <n v="20"/>
  </r>
  <r>
    <x v="5"/>
    <s v="TELHA GALVALUME OND 17 0,43MM 5,00M"/>
    <x v="66"/>
    <n v="20"/>
  </r>
  <r>
    <x v="3"/>
    <s v="TELHA GALVALUME TP 40 0,43MM 3,00M"/>
    <x v="66"/>
    <n v="7"/>
  </r>
  <r>
    <x v="2"/>
    <s v="TELHA GALVALUME TP 40 0,43MM 6,00M"/>
    <x v="67"/>
    <n v="95"/>
  </r>
  <r>
    <x v="1"/>
    <s v="TELHA GALVALUME TP 40 0,43MM 4,00M"/>
    <x v="67"/>
    <n v="62"/>
  </r>
  <r>
    <x v="0"/>
    <s v="TELHA GALVALUME TP 40 0,43MM"/>
    <x v="67"/>
    <n v="60.5"/>
  </r>
  <r>
    <x v="6"/>
    <s v="TELHA GALVALUME TP 40 0,43MM 7,00M"/>
    <x v="67"/>
    <n v="51"/>
  </r>
  <r>
    <x v="4"/>
    <s v="TELHA GALVALUME TP 40 0,43MM 5,00M"/>
    <x v="67"/>
    <n v="48"/>
  </r>
  <r>
    <x v="17"/>
    <s v="TELHA CUMEEIRA GL TRAP 40 ABAS 300MM"/>
    <x v="67"/>
    <n v="44"/>
  </r>
  <r>
    <x v="10"/>
    <s v="TELHA GALVALUME OND 17 0,43MM 6,00M"/>
    <x v="67"/>
    <n v="4"/>
  </r>
  <r>
    <x v="18"/>
    <s v="TELHA GALVALUME TP 40 0,43MM 8,00M"/>
    <x v="67"/>
    <n v="2"/>
  </r>
  <r>
    <x v="3"/>
    <s v="TELHA GALVALUME TP 40 0,43MM 3,00M"/>
    <x v="67"/>
    <n v="1"/>
  </r>
  <r>
    <x v="8"/>
    <s v="TELHA GALVALUME OND 17 0,43MM 7,00M"/>
    <x v="67"/>
    <n v="1"/>
  </r>
  <r>
    <x v="0"/>
    <s v="TELHA GALVALUME TP 40 0,43MM"/>
    <x v="68"/>
    <n v="707"/>
  </r>
  <r>
    <x v="4"/>
    <s v="TELHA GALVALUME TP 40 0,43MM 5,00M"/>
    <x v="68"/>
    <n v="52"/>
  </r>
  <r>
    <x v="10"/>
    <s v="TELHA GALVALUME OND 17 0,43MM 6,00M"/>
    <x v="68"/>
    <n v="35"/>
  </r>
  <r>
    <x v="1"/>
    <s v="TELHA GALVALUME TP 40 0,43MM 4,00M"/>
    <x v="68"/>
    <n v="30"/>
  </r>
  <r>
    <x v="7"/>
    <s v="TELHA GALVALUME OND 17 0,43MM 4,00M"/>
    <x v="68"/>
    <n v="22"/>
  </r>
  <r>
    <x v="6"/>
    <s v="TELHA GALVALUME TP 40 0,43MM 7,00M"/>
    <x v="68"/>
    <n v="17"/>
  </r>
  <r>
    <x v="2"/>
    <s v="TELHA GALVALUME TP 40 0,43MM 6,00M"/>
    <x v="68"/>
    <n v="15"/>
  </r>
  <r>
    <x v="0"/>
    <s v="TELHA GALVALUME TP 40 0,43MM"/>
    <x v="69"/>
    <n v="264.89999999999998"/>
  </r>
  <r>
    <x v="2"/>
    <s v="TELHA GALVALUME TP 40 0,43MM 6,00M"/>
    <x v="69"/>
    <n v="174"/>
  </r>
  <r>
    <x v="6"/>
    <s v="TELHA GALVALUME TP 40 0,43MM 7,00M"/>
    <x v="69"/>
    <n v="135"/>
  </r>
  <r>
    <x v="4"/>
    <s v="TELHA GALVALUME TP 40 0,43MM 5,00M"/>
    <x v="69"/>
    <n v="108"/>
  </r>
  <r>
    <x v="17"/>
    <s v="TELHA CUMEEIRA GL TRAP 40 ABAS 300MM"/>
    <x v="69"/>
    <n v="83"/>
  </r>
  <r>
    <x v="5"/>
    <s v="TELHA GALVALUME OND 17 0,43MM 5,00M"/>
    <x v="69"/>
    <n v="40"/>
  </r>
  <r>
    <x v="18"/>
    <s v="TELHA GALVALUME TP 40 0,43MM 8,00M"/>
    <x v="69"/>
    <n v="39"/>
  </r>
  <r>
    <x v="1"/>
    <s v="TELHA GALVALUME TP 40 0,43MM 4,00M"/>
    <x v="69"/>
    <n v="38"/>
  </r>
  <r>
    <x v="7"/>
    <s v="TELHA GALVALUME OND 17 0,43MM 4,00M"/>
    <x v="69"/>
    <n v="29"/>
  </r>
  <r>
    <x v="3"/>
    <s v="TELHA GALVALUME TP 40 0,43MM 3,00M"/>
    <x v="69"/>
    <n v="24"/>
  </r>
  <r>
    <x v="8"/>
    <s v="TELHA GALVALUME OND 17 0,43MM 7,00M"/>
    <x v="69"/>
    <n v="19"/>
  </r>
  <r>
    <x v="10"/>
    <s v="TELHA GALVALUME OND 17 0,43MM 6,00M"/>
    <x v="69"/>
    <n v="3"/>
  </r>
  <r>
    <x v="9"/>
    <s v="TELHA GALVALUME OND 17 0,43MM 3,00M"/>
    <x v="69"/>
    <n v="1"/>
  </r>
  <r>
    <x v="0"/>
    <s v="TELHA GALVALUME TP 40 0,43MM"/>
    <x v="70"/>
    <n v="101.1"/>
  </r>
  <r>
    <x v="6"/>
    <s v="TELHA GALVALUME TP 40 0,43MM 7,00M"/>
    <x v="70"/>
    <n v="43"/>
  </r>
  <r>
    <x v="4"/>
    <s v="TELHA GALVALUME TP 40 0,43MM 5,00M"/>
    <x v="70"/>
    <n v="41"/>
  </r>
  <r>
    <x v="1"/>
    <s v="TELHA GALVALUME TP 40 0,43MM 4,00M"/>
    <x v="70"/>
    <n v="24"/>
  </r>
  <r>
    <x v="10"/>
    <s v="TELHA GALVALUME OND 17 0,43MM 6,00M"/>
    <x v="70"/>
    <n v="21"/>
  </r>
  <r>
    <x v="17"/>
    <s v="TELHA CUMEEIRA GL TRAP 40 ABAS 300MM"/>
    <x v="70"/>
    <n v="18"/>
  </r>
  <r>
    <x v="5"/>
    <s v="TELHA GALVALUME OND 17 0,43MM 5,00M"/>
    <x v="70"/>
    <n v="15"/>
  </r>
  <r>
    <x v="2"/>
    <s v="TELHA GALVALUME TP 40 0,43MM 6,00M"/>
    <x v="70"/>
    <n v="14"/>
  </r>
  <r>
    <x v="7"/>
    <s v="TELHA GALVALUME OND 17 0,43MM 4,00M"/>
    <x v="70"/>
    <n v="14"/>
  </r>
  <r>
    <x v="8"/>
    <s v="TELHA GALVALUME OND 17 0,43MM 7,00M"/>
    <x v="70"/>
    <n v="11"/>
  </r>
  <r>
    <x v="18"/>
    <s v="TELHA GALVALUME TP 40 0,43MM 8,00M"/>
    <x v="70"/>
    <n v="7"/>
  </r>
  <r>
    <x v="20"/>
    <s v="TELHA CUMEEIRA GL OND 17 ABAS 300MM"/>
    <x v="70"/>
    <n v="5"/>
  </r>
  <r>
    <x v="9"/>
    <s v="TELHA GALVALUME OND 17 0,43MM 3,00M"/>
    <x v="70"/>
    <n v="5"/>
  </r>
  <r>
    <x v="2"/>
    <s v="TELHA GALVALUME TP 40 0,43MM 6,00M"/>
    <x v="71"/>
    <n v="225"/>
  </r>
  <r>
    <x v="4"/>
    <s v="TELHA GALVALUME TP 40 0,43MM 5,00M"/>
    <x v="71"/>
    <n v="195"/>
  </r>
  <r>
    <x v="0"/>
    <s v="TELHA GALVALUME TP 40 0,43MM"/>
    <x v="71"/>
    <n v="161.6"/>
  </r>
  <r>
    <x v="5"/>
    <s v="TELHA GALVALUME OND 17 0,43MM 5,00M"/>
    <x v="71"/>
    <n v="116"/>
  </r>
  <r>
    <x v="6"/>
    <s v="TELHA GALVALUME TP 40 0,43MM 7,00M"/>
    <x v="71"/>
    <n v="97"/>
  </r>
  <r>
    <x v="10"/>
    <s v="TELHA GALVALUME OND 17 0,43MM 6,00M"/>
    <x v="71"/>
    <n v="80"/>
  </r>
  <r>
    <x v="15"/>
    <s v="TELHA GALVALUME OND 17 0,43MM"/>
    <x v="71"/>
    <n v="62.3"/>
  </r>
  <r>
    <x v="1"/>
    <s v="TELHA GALVALUME TP 40 0,43MM 4,00M"/>
    <x v="71"/>
    <n v="33"/>
  </r>
  <r>
    <x v="18"/>
    <s v="TELHA GALVALUME TP 40 0,43MM 8,00M"/>
    <x v="71"/>
    <n v="33"/>
  </r>
  <r>
    <x v="17"/>
    <s v="TELHA CUMEEIRA GL TRAP 40 ABAS 300MM"/>
    <x v="71"/>
    <n v="24"/>
  </r>
  <r>
    <x v="9"/>
    <s v="TELHA GALVALUME OND 17 0,43MM 3,00M"/>
    <x v="71"/>
    <n v="6"/>
  </r>
  <r>
    <x v="8"/>
    <s v="TELHA GALVALUME OND 17 0,43MM 7,00M"/>
    <x v="71"/>
    <n v="1"/>
  </r>
  <r>
    <x v="0"/>
    <s v="TELHA GALVALUME TP 40 0,43MM"/>
    <x v="72"/>
    <n v="596"/>
  </r>
  <r>
    <x v="2"/>
    <s v="TELHA GALVALUME TP 40 0,43MM 6,00M"/>
    <x v="72"/>
    <n v="135"/>
  </r>
  <r>
    <x v="4"/>
    <s v="TELHA GALVALUME TP 40 0,43MM 5,00M"/>
    <x v="72"/>
    <n v="121"/>
  </r>
  <r>
    <x v="3"/>
    <s v="TELHA GALVALUME TP 40 0,43MM 3,00M"/>
    <x v="72"/>
    <n v="89"/>
  </r>
  <r>
    <x v="1"/>
    <s v="TELHA GALVALUME TP 40 0,43MM 4,00M"/>
    <x v="72"/>
    <n v="59"/>
  </r>
  <r>
    <x v="6"/>
    <s v="TELHA GALVALUME TP 40 0,43MM 7,00M"/>
    <x v="72"/>
    <n v="45"/>
  </r>
  <r>
    <x v="5"/>
    <s v="TELHA GALVALUME OND 17 0,43MM 5,00M"/>
    <x v="72"/>
    <n v="40"/>
  </r>
  <r>
    <x v="10"/>
    <s v="TELHA GALVALUME OND 17 0,43MM 6,00M"/>
    <x v="72"/>
    <n v="37"/>
  </r>
  <r>
    <x v="17"/>
    <s v="TELHA CUMEEIRA GL TRAP 40 ABAS 300MM"/>
    <x v="72"/>
    <n v="20"/>
  </r>
  <r>
    <x v="9"/>
    <s v="TELHA GALVALUME OND 17 0,43MM 3,00M"/>
    <x v="72"/>
    <n v="15"/>
  </r>
  <r>
    <x v="7"/>
    <s v="TELHA GALVALUME OND 17 0,43MM 4,00M"/>
    <x v="72"/>
    <n v="9"/>
  </r>
  <r>
    <x v="18"/>
    <s v="TELHA GALVALUME TP 40 0,43MM 8,00M"/>
    <x v="72"/>
    <n v="4"/>
  </r>
  <r>
    <x v="0"/>
    <s v="TELHA GALVALUME TP 40 0,43MM"/>
    <x v="73"/>
    <n v="321.5"/>
  </r>
  <r>
    <x v="15"/>
    <s v="TELHA GALVALUME OND 17 0,43MM"/>
    <x v="73"/>
    <n v="302.46000000000004"/>
  </r>
  <r>
    <x v="6"/>
    <s v="TELHA GALVALUME TP 40 0,43MM 7,00M"/>
    <x v="73"/>
    <n v="180"/>
  </r>
  <r>
    <x v="4"/>
    <s v="TELHA GALVALUME TP 40 0,43MM 5,00M"/>
    <x v="73"/>
    <n v="164"/>
  </r>
  <r>
    <x v="2"/>
    <s v="TELHA GALVALUME TP 40 0,43MM 6,00M"/>
    <x v="73"/>
    <n v="71"/>
  </r>
  <r>
    <x v="1"/>
    <s v="TELHA GALVALUME TP 40 0,43MM 4,00M"/>
    <x v="73"/>
    <n v="58"/>
  </r>
  <r>
    <x v="10"/>
    <s v="TELHA GALVALUME OND 17 0,43MM 6,00M"/>
    <x v="73"/>
    <n v="45"/>
  </r>
  <r>
    <x v="5"/>
    <s v="TELHA GALVALUME OND 17 0,43MM 5,00M"/>
    <x v="73"/>
    <n v="33"/>
  </r>
  <r>
    <x v="18"/>
    <s v="TELHA GALVALUME TP 40 0,43MM 8,00M"/>
    <x v="73"/>
    <n v="15"/>
  </r>
  <r>
    <x v="9"/>
    <s v="TELHA GALVALUME OND 17 0,43MM 3,00M"/>
    <x v="73"/>
    <n v="15"/>
  </r>
  <r>
    <x v="3"/>
    <s v="TELHA GALVALUME TP 40 0,43MM 3,00M"/>
    <x v="73"/>
    <n v="10"/>
  </r>
  <r>
    <x v="17"/>
    <s v="TELHA CUMEEIRA GL TRAP 40 ABAS 300MM"/>
    <x v="73"/>
    <n v="1"/>
  </r>
  <r>
    <x v="15"/>
    <s v="TELHA GALVALUME OND 17 0,43MM"/>
    <x v="74"/>
    <n v="932.40000000000009"/>
  </r>
  <r>
    <x v="0"/>
    <s v="TELHA GALVALUME TP 40 0,43MM"/>
    <x v="74"/>
    <n v="397.8"/>
  </r>
  <r>
    <x v="2"/>
    <s v="TELHA GALVALUME TP 40 0,43MM 6,00M"/>
    <x v="74"/>
    <n v="213"/>
  </r>
  <r>
    <x v="1"/>
    <s v="TELHA GALVALUME TP 40 0,43MM 4,00M"/>
    <x v="74"/>
    <n v="125"/>
  </r>
  <r>
    <x v="6"/>
    <s v="TELHA GALVALUME TP 40 0,43MM 7,00M"/>
    <x v="74"/>
    <n v="97"/>
  </r>
  <r>
    <x v="4"/>
    <s v="TELHA GALVALUME TP 40 0,43MM 5,00M"/>
    <x v="74"/>
    <n v="87"/>
  </r>
  <r>
    <x v="10"/>
    <s v="TELHA GALVALUME OND 17 0,43MM 6,00M"/>
    <x v="74"/>
    <n v="47"/>
  </r>
  <r>
    <x v="3"/>
    <s v="TELHA GALVALUME TP 40 0,43MM 3,00M"/>
    <x v="74"/>
    <n v="40"/>
  </r>
  <r>
    <x v="7"/>
    <s v="TELHA GALVALUME OND 17 0,43MM 4,00M"/>
    <x v="74"/>
    <n v="35"/>
  </r>
  <r>
    <x v="8"/>
    <s v="TELHA GALVALUME OND 17 0,43MM 7,00M"/>
    <x v="74"/>
    <n v="26"/>
  </r>
  <r>
    <x v="5"/>
    <s v="TELHA GALVALUME OND 17 0,43MM 5,00M"/>
    <x v="74"/>
    <n v="6"/>
  </r>
  <r>
    <x v="18"/>
    <s v="TELHA GALVALUME TP 40 0,43MM 8,00M"/>
    <x v="74"/>
    <n v="4"/>
  </r>
  <r>
    <x v="0"/>
    <s v="TELHA GALVALUME TP 40 0,43MM"/>
    <x v="75"/>
    <n v="142.5"/>
  </r>
  <r>
    <x v="15"/>
    <s v="TELHA GALVALUME OND 17 0,43MM"/>
    <x v="75"/>
    <n v="79.800000000000011"/>
  </r>
  <r>
    <x v="5"/>
    <s v="TELHA GALVALUME OND 17 0,43MM 5,00M"/>
    <x v="75"/>
    <n v="48"/>
  </r>
  <r>
    <x v="7"/>
    <s v="TELHA GALVALUME OND 17 0,43MM 4,00M"/>
    <x v="75"/>
    <n v="31"/>
  </r>
  <r>
    <x v="18"/>
    <s v="TELHA GALVALUME TP 40 0,43MM 8,00M"/>
    <x v="75"/>
    <n v="31"/>
  </r>
  <r>
    <x v="4"/>
    <s v="TELHA GALVALUME TP 40 0,43MM 5,00M"/>
    <x v="75"/>
    <n v="30"/>
  </r>
  <r>
    <x v="17"/>
    <s v="TELHA CUMEEIRA GL TRAP 40 ABAS 300MM"/>
    <x v="75"/>
    <n v="27"/>
  </r>
  <r>
    <x v="2"/>
    <s v="TELHA GALVALUME TP 40 0,43MM 6,00M"/>
    <x v="75"/>
    <n v="25"/>
  </r>
  <r>
    <x v="10"/>
    <s v="TELHA GALVALUME OND 17 0,43MM 6,00M"/>
    <x v="75"/>
    <n v="25"/>
  </r>
  <r>
    <x v="3"/>
    <s v="TELHA GALVALUME TP 40 0,43MM 3,00M"/>
    <x v="75"/>
    <n v="8"/>
  </r>
  <r>
    <x v="9"/>
    <s v="TELHA GALVALUME OND 17 0,43MM 3,00M"/>
    <x v="75"/>
    <n v="7"/>
  </r>
  <r>
    <x v="6"/>
    <s v="TELHA GALVALUME TP 40 0,43MM 7,00M"/>
    <x v="75"/>
    <n v="6"/>
  </r>
  <r>
    <x v="1"/>
    <s v="TELHA GALVALUME TP 40 0,43MM 4,00M"/>
    <x v="75"/>
    <n v="4"/>
  </r>
  <r>
    <x v="8"/>
    <s v="TELHA GALVALUME OND 17 0,43MM 7,00M"/>
    <x v="75"/>
    <n v="1"/>
  </r>
  <r>
    <x v="0"/>
    <s v="TELHA GALVALUME TP 40 0,43MM"/>
    <x v="76"/>
    <n v="250.7"/>
  </r>
  <r>
    <x v="1"/>
    <s v="TELHA GALVALUME TP 40 0,43MM 4,00M"/>
    <x v="76"/>
    <n v="149"/>
  </r>
  <r>
    <x v="2"/>
    <s v="TELHA GALVALUME TP 40 0,43MM 6,00M"/>
    <x v="76"/>
    <n v="117"/>
  </r>
  <r>
    <x v="15"/>
    <s v="TELHA GALVALUME OND 17 0,43MM"/>
    <x v="76"/>
    <n v="64"/>
  </r>
  <r>
    <x v="4"/>
    <s v="TELHA GALVALUME TP 40 0,43MM 5,00M"/>
    <x v="76"/>
    <n v="38"/>
  </r>
  <r>
    <x v="17"/>
    <s v="TELHA CUMEEIRA GL TRAP 40 ABAS 300MM"/>
    <x v="76"/>
    <n v="24"/>
  </r>
  <r>
    <x v="6"/>
    <s v="TELHA GALVALUME TP 40 0,43MM 7,00M"/>
    <x v="76"/>
    <n v="24"/>
  </r>
  <r>
    <x v="18"/>
    <s v="TELHA GALVALUME TP 40 0,43MM 8,00M"/>
    <x v="76"/>
    <n v="12"/>
  </r>
  <r>
    <x v="3"/>
    <s v="TELHA GALVALUME TP 40 0,43MM 3,00M"/>
    <x v="76"/>
    <n v="11"/>
  </r>
  <r>
    <x v="10"/>
    <s v="TELHA GALVALUME OND 17 0,43MM 6,00M"/>
    <x v="76"/>
    <n v="9"/>
  </r>
  <r>
    <x v="9"/>
    <s v="TELHA GALVALUME OND 17 0,43MM 3,00M"/>
    <x v="76"/>
    <n v="9"/>
  </r>
  <r>
    <x v="5"/>
    <s v="TELHA GALVALUME OND 17 0,43MM 5,00M"/>
    <x v="76"/>
    <n v="8"/>
  </r>
  <r>
    <x v="7"/>
    <s v="TELHA GALVALUME OND 17 0,43MM 4,00M"/>
    <x v="76"/>
    <n v="6"/>
  </r>
  <r>
    <x v="8"/>
    <s v="TELHA GALVALUME OND 17 0,43MM 7,00M"/>
    <x v="76"/>
    <n v="3"/>
  </r>
  <r>
    <x v="15"/>
    <s v="TELHA GALVALUME OND 17 0,43MM"/>
    <x v="77"/>
    <n v="154"/>
  </r>
  <r>
    <x v="0"/>
    <s v="TELHA GALVALUME TP 40 0,43MM"/>
    <x v="77"/>
    <n v="104"/>
  </r>
  <r>
    <x v="6"/>
    <s v="TELHA GALVALUME TP 40 0,43MM 7,00M"/>
    <x v="77"/>
    <n v="90"/>
  </r>
  <r>
    <x v="4"/>
    <s v="TELHA GALVALUME TP 40 0,43MM 5,00M"/>
    <x v="77"/>
    <n v="67"/>
  </r>
  <r>
    <x v="2"/>
    <s v="TELHA GALVALUME TP 40 0,43MM 6,00M"/>
    <x v="77"/>
    <n v="41"/>
  </r>
  <r>
    <x v="3"/>
    <s v="TELHA GALVALUME TP 40 0,43MM 3,00M"/>
    <x v="77"/>
    <n v="34"/>
  </r>
  <r>
    <x v="1"/>
    <s v="TELHA GALVALUME TP 40 0,43MM 4,00M"/>
    <x v="77"/>
    <n v="32"/>
  </r>
  <r>
    <x v="10"/>
    <s v="TELHA GALVALUME OND 17 0,43MM 6,00M"/>
    <x v="77"/>
    <n v="31"/>
  </r>
  <r>
    <x v="16"/>
    <s v="TELHA GALVALUME OND 17 0,43MM 8,00M"/>
    <x v="77"/>
    <n v="19"/>
  </r>
  <r>
    <x v="7"/>
    <s v="TELHA GALVALUME OND 17 0,43MM 4,00M"/>
    <x v="77"/>
    <n v="11"/>
  </r>
  <r>
    <x v="5"/>
    <s v="TELHA GALVALUME OND 17 0,43MM 5,00M"/>
    <x v="77"/>
    <n v="1"/>
  </r>
  <r>
    <x v="18"/>
    <s v="TELHA GALVALUME TP 40 0,43MM 8,00M"/>
    <x v="78"/>
    <n v="118"/>
  </r>
  <r>
    <x v="6"/>
    <s v="TELHA GALVALUME TP 40 0,43MM 7,00M"/>
    <x v="78"/>
    <n v="96"/>
  </r>
  <r>
    <x v="0"/>
    <s v="TELHA GALVALUME TP 40 0,43MM"/>
    <x v="78"/>
    <n v="85.949999999999989"/>
  </r>
  <r>
    <x v="3"/>
    <s v="TELHA GALVALUME TP 40 0,43MM 3,00M"/>
    <x v="78"/>
    <n v="79"/>
  </r>
  <r>
    <x v="2"/>
    <s v="TELHA GALVALUME TP 40 0,43MM 6,00M"/>
    <x v="78"/>
    <n v="76"/>
  </r>
  <r>
    <x v="1"/>
    <s v="TELHA GALVALUME TP 40 0,43MM 4,00M"/>
    <x v="78"/>
    <n v="75"/>
  </r>
  <r>
    <x v="4"/>
    <s v="TELHA GALVALUME TP 40 0,43MM 5,00M"/>
    <x v="78"/>
    <n v="57"/>
  </r>
  <r>
    <x v="9"/>
    <s v="TELHA GALVALUME OND 17 0,43MM 3,00M"/>
    <x v="78"/>
    <n v="43"/>
  </r>
  <r>
    <x v="8"/>
    <s v="TELHA GALVALUME OND 17 0,43MM 7,00M"/>
    <x v="78"/>
    <n v="26"/>
  </r>
  <r>
    <x v="16"/>
    <s v="TELHA GALVALUME OND 17 0,43MM 8,00M"/>
    <x v="78"/>
    <n v="12"/>
  </r>
  <r>
    <x v="5"/>
    <s v="TELHA GALVALUME OND 17 0,43MM 5,00M"/>
    <x v="78"/>
    <n v="7"/>
  </r>
  <r>
    <x v="17"/>
    <s v="TELHA CUMEEIRA GL TRAP 40 ABAS 300MM"/>
    <x v="78"/>
    <n v="5"/>
  </r>
  <r>
    <x v="20"/>
    <s v="TELHA CUMEEIRA GL OND 17 ABAS 300MM"/>
    <x v="78"/>
    <n v="3"/>
  </r>
  <r>
    <x v="2"/>
    <s v="TELHA GALVALUME TP 40 0,43MM 6,00M"/>
    <x v="79"/>
    <n v="87"/>
  </r>
  <r>
    <x v="15"/>
    <s v="TELHA GALVALUME OND 17 0,43MM"/>
    <x v="79"/>
    <n v="64"/>
  </r>
  <r>
    <x v="8"/>
    <s v="TELHA GALVALUME OND 17 0,43MM 7,00M"/>
    <x v="79"/>
    <n v="57"/>
  </r>
  <r>
    <x v="9"/>
    <s v="TELHA GALVALUME OND 17 0,43MM 3,00M"/>
    <x v="79"/>
    <n v="41"/>
  </r>
  <r>
    <x v="4"/>
    <s v="TELHA GALVALUME TP 40 0,43MM 5,00M"/>
    <x v="79"/>
    <n v="35"/>
  </r>
  <r>
    <x v="10"/>
    <s v="TELHA GALVALUME OND 17 0,43MM 6,00M"/>
    <x v="79"/>
    <n v="29"/>
  </r>
  <r>
    <x v="1"/>
    <s v="TELHA GALVALUME TP 40 0,43MM 4,00M"/>
    <x v="79"/>
    <n v="24"/>
  </r>
  <r>
    <x v="20"/>
    <s v="TELHA CUMEEIRA GL OND 17 ABAS 300MM"/>
    <x v="79"/>
    <n v="10"/>
  </r>
  <r>
    <x v="17"/>
    <s v="TELHA CUMEEIRA GL TRAP 40 ABAS 300MM"/>
    <x v="79"/>
    <n v="4"/>
  </r>
  <r>
    <x v="3"/>
    <s v="TELHA GALVALUME TP 40 0,43MM 3,00M"/>
    <x v="79"/>
    <n v="4"/>
  </r>
  <r>
    <x v="18"/>
    <s v="TELHA GALVALUME TP 40 0,43MM 8,00M"/>
    <x v="79"/>
    <n v="4"/>
  </r>
  <r>
    <x v="5"/>
    <s v="TELHA GALVALUME OND 17 0,43MM 5,00M"/>
    <x v="79"/>
    <n v="4"/>
  </r>
  <r>
    <x v="7"/>
    <s v="TELHA GALVALUME OND 17 0,43MM 4,00M"/>
    <x v="79"/>
    <n v="2"/>
  </r>
  <r>
    <x v="0"/>
    <s v="TELHA GALVALUME TP 40 0,43MM"/>
    <x v="80"/>
    <n v="768.45"/>
  </r>
  <r>
    <x v="15"/>
    <s v="TELHA GALVALUME OND 17 0,43MM"/>
    <x v="80"/>
    <n v="630.5"/>
  </r>
  <r>
    <x v="4"/>
    <s v="TELHA GALVALUME TP 40 0,43MM 5,00M"/>
    <x v="80"/>
    <n v="143"/>
  </r>
  <r>
    <x v="2"/>
    <s v="TELHA GALVALUME TP 40 0,43MM 6,00M"/>
    <x v="80"/>
    <n v="130"/>
  </r>
  <r>
    <x v="1"/>
    <s v="TELHA GALVALUME TP 40 0,43MM 4,00M"/>
    <x v="80"/>
    <n v="91"/>
  </r>
  <r>
    <x v="6"/>
    <s v="TELHA GALVALUME TP 40 0,43MM 7,00M"/>
    <x v="80"/>
    <n v="86"/>
  </r>
  <r>
    <x v="7"/>
    <s v="TELHA GALVALUME OND 17 0,43MM 4,00M"/>
    <x v="80"/>
    <n v="56"/>
  </r>
  <r>
    <x v="17"/>
    <s v="TELHA CUMEEIRA GL TRAP 40 ABAS 300MM"/>
    <x v="80"/>
    <n v="54"/>
  </r>
  <r>
    <x v="10"/>
    <s v="TELHA GALVALUME OND 17 0,43MM 6,00M"/>
    <x v="80"/>
    <n v="40"/>
  </r>
  <r>
    <x v="8"/>
    <s v="TELHA GALVALUME OND 17 0,43MM 7,00M"/>
    <x v="80"/>
    <n v="21"/>
  </r>
  <r>
    <x v="16"/>
    <s v="TELHA GALVALUME OND 17 0,43MM 8,00M"/>
    <x v="80"/>
    <n v="20"/>
  </r>
  <r>
    <x v="9"/>
    <s v="TELHA GALVALUME OND 17 0,43MM 3,00M"/>
    <x v="80"/>
    <n v="13"/>
  </r>
  <r>
    <x v="3"/>
    <s v="TELHA GALVALUME TP 40 0,43MM 3,00M"/>
    <x v="80"/>
    <n v="12"/>
  </r>
  <r>
    <x v="18"/>
    <s v="TELHA GALVALUME TP 40 0,43MM 8,00M"/>
    <x v="80"/>
    <n v="6"/>
  </r>
  <r>
    <x v="15"/>
    <s v="TELHA GALVALUME OND 17 0,43MM"/>
    <x v="81"/>
    <n v="682.5"/>
  </r>
  <r>
    <x v="0"/>
    <s v="TELHA GALVALUME TP 40 0,43MM"/>
    <x v="81"/>
    <n v="222.29999999999998"/>
  </r>
  <r>
    <x v="4"/>
    <s v="TELHA GALVALUME TP 40 0,43MM 5,00M"/>
    <x v="81"/>
    <n v="205"/>
  </r>
  <r>
    <x v="2"/>
    <s v="TELHA GALVALUME TP 40 0,43MM 6,00M"/>
    <x v="81"/>
    <n v="118"/>
  </r>
  <r>
    <x v="6"/>
    <s v="TELHA GALVALUME TP 40 0,43MM 7,00M"/>
    <x v="81"/>
    <n v="54"/>
  </r>
  <r>
    <x v="1"/>
    <s v="TELHA GALVALUME TP 40 0,43MM 4,00M"/>
    <x v="81"/>
    <n v="37"/>
  </r>
  <r>
    <x v="10"/>
    <s v="TELHA GALVALUME OND 17 0,43MM 6,00M"/>
    <x v="81"/>
    <n v="35"/>
  </r>
  <r>
    <x v="17"/>
    <s v="TELHA CUMEEIRA GL TRAP 40 ABAS 300MM"/>
    <x v="81"/>
    <n v="23"/>
  </r>
  <r>
    <x v="8"/>
    <s v="TELHA GALVALUME OND 17 0,43MM 7,00M"/>
    <x v="81"/>
    <n v="19"/>
  </r>
  <r>
    <x v="0"/>
    <s v="TELHA GALVALUME TP 40 0,43MM"/>
    <x v="82"/>
    <n v="507"/>
  </r>
  <r>
    <x v="2"/>
    <s v="TELHA GALVALUME TP 40 0,43MM 6,00M"/>
    <x v="82"/>
    <n v="135"/>
  </r>
  <r>
    <x v="4"/>
    <s v="TELHA GALVALUME TP 40 0,43MM 5,00M"/>
    <x v="82"/>
    <n v="125"/>
  </r>
  <r>
    <x v="1"/>
    <s v="TELHA GALVALUME TP 40 0,43MM 4,00M"/>
    <x v="82"/>
    <n v="125"/>
  </r>
  <r>
    <x v="6"/>
    <s v="TELHA GALVALUME TP 40 0,43MM 7,00M"/>
    <x v="82"/>
    <n v="35"/>
  </r>
  <r>
    <x v="5"/>
    <s v="TELHA GALVALUME OND 17 0,43MM 5,00M"/>
    <x v="82"/>
    <n v="33"/>
  </r>
  <r>
    <x v="9"/>
    <s v="TELHA GALVALUME OND 17 0,43MM 3,00M"/>
    <x v="82"/>
    <n v="22"/>
  </r>
  <r>
    <x v="3"/>
    <s v="TELHA GALVALUME TP 40 0,43MM 3,00M"/>
    <x v="82"/>
    <n v="18"/>
  </r>
  <r>
    <x v="7"/>
    <s v="TELHA GALVALUME OND 17 0,43MM 4,00M"/>
    <x v="82"/>
    <n v="15"/>
  </r>
  <r>
    <x v="8"/>
    <s v="TELHA GALVALUME OND 17 0,43MM 7,00M"/>
    <x v="82"/>
    <n v="14"/>
  </r>
  <r>
    <x v="10"/>
    <s v="TELHA GALVALUME OND 17 0,43MM 6,00M"/>
    <x v="82"/>
    <n v="12"/>
  </r>
  <r>
    <x v="17"/>
    <s v="TELHA CUMEEIRA GL TRAP 40 ABAS 300MM"/>
    <x v="82"/>
    <n v="1"/>
  </r>
  <r>
    <x v="2"/>
    <s v="TELHA GALVALUME TP 40 0,43MM 6,00M"/>
    <x v="83"/>
    <n v="72"/>
  </r>
  <r>
    <x v="23"/>
    <s v="TELHA GALVALUME #0,32 TRAP 40 6,00M"/>
    <x v="83"/>
    <n v="65"/>
  </r>
  <r>
    <x v="1"/>
    <s v="TELHA GALVALUME TP 40 0,43MM 4,00M"/>
    <x v="83"/>
    <n v="64"/>
  </r>
  <r>
    <x v="6"/>
    <s v="TELHA GALVALUME TP 40 0,43MM 7,00M"/>
    <x v="83"/>
    <n v="45"/>
  </r>
  <r>
    <x v="4"/>
    <s v="TELHA GALVALUME TP 40 0,43MM 5,00M"/>
    <x v="83"/>
    <n v="37"/>
  </r>
  <r>
    <x v="17"/>
    <s v="TELHA CUMEEIRA GL TRAP 40 ABAS 300MM"/>
    <x v="83"/>
    <n v="22"/>
  </r>
  <r>
    <x v="3"/>
    <s v="TELHA GALVALUME TP 40 0,43MM 3,00M"/>
    <x v="83"/>
    <n v="22"/>
  </r>
  <r>
    <x v="0"/>
    <s v="TELHA GALVALUME TP 40 0,43MM"/>
    <x v="83"/>
    <n v="7"/>
  </r>
  <r>
    <x v="2"/>
    <s v="TELHA GALVALUME TP 40 0,43MM 6,00M"/>
    <x v="84"/>
    <n v="168"/>
  </r>
  <r>
    <x v="0"/>
    <s v="TELHA GALVALUME TP 40 0,43MM"/>
    <x v="84"/>
    <n v="54.9"/>
  </r>
  <r>
    <x v="4"/>
    <s v="TELHA GALVALUME TP 40 0,43MM 5,00M"/>
    <x v="84"/>
    <n v="46"/>
  </r>
  <r>
    <x v="6"/>
    <s v="TELHA GALVALUME TP 40 0,43MM 7,00M"/>
    <x v="84"/>
    <n v="37"/>
  </r>
  <r>
    <x v="5"/>
    <s v="TELHA GALVALUME OND 17 0,43MM 5,00M"/>
    <x v="84"/>
    <n v="31"/>
  </r>
  <r>
    <x v="10"/>
    <s v="TELHA GALVALUME OND 17 0,43MM 6,00M"/>
    <x v="84"/>
    <n v="30"/>
  </r>
  <r>
    <x v="1"/>
    <s v="TELHA GALVALUME TP 40 0,43MM 4,00M"/>
    <x v="84"/>
    <n v="23"/>
  </r>
  <r>
    <x v="7"/>
    <s v="TELHA GALVALUME OND 17 0,43MM 4,00M"/>
    <x v="84"/>
    <n v="4"/>
  </r>
  <r>
    <x v="0"/>
    <s v="TELHA GALVALUME TP 40 0,43MM"/>
    <x v="85"/>
    <n v="444.5"/>
  </r>
  <r>
    <x v="15"/>
    <s v="TELHA GALVALUME OND 17 0,43MM"/>
    <x v="85"/>
    <n v="157.5"/>
  </r>
  <r>
    <x v="4"/>
    <s v="TELHA GALVALUME TP 40 0,43MM 5,00M"/>
    <x v="85"/>
    <n v="95"/>
  </r>
  <r>
    <x v="6"/>
    <s v="TELHA GALVALUME TP 40 0,43MM 7,00M"/>
    <x v="85"/>
    <n v="68"/>
  </r>
  <r>
    <x v="16"/>
    <s v="TELHA GALVALUME OND 17 0,43MM 8,00M"/>
    <x v="85"/>
    <n v="65"/>
  </r>
  <r>
    <x v="8"/>
    <s v="TELHA GALVALUME OND 17 0,43MM 7,00M"/>
    <x v="85"/>
    <n v="54"/>
  </r>
  <r>
    <x v="9"/>
    <s v="TELHA GALVALUME OND 17 0,43MM 3,00M"/>
    <x v="85"/>
    <n v="49"/>
  </r>
  <r>
    <x v="2"/>
    <s v="TELHA GALVALUME TP 40 0,43MM 6,00M"/>
    <x v="85"/>
    <n v="46"/>
  </r>
  <r>
    <x v="1"/>
    <s v="TELHA GALVALUME TP 40 0,43MM 4,00M"/>
    <x v="85"/>
    <n v="30"/>
  </r>
  <r>
    <x v="3"/>
    <s v="TELHA GALVALUME TP 40 0,43MM 3,00M"/>
    <x v="85"/>
    <n v="26"/>
  </r>
  <r>
    <x v="17"/>
    <s v="TELHA CUMEEIRA GL TRAP 40 ABAS 300MM"/>
    <x v="85"/>
    <n v="25"/>
  </r>
  <r>
    <x v="5"/>
    <s v="TELHA GALVALUME OND 17 0,43MM 5,00M"/>
    <x v="85"/>
    <n v="20"/>
  </r>
  <r>
    <x v="7"/>
    <s v="TELHA GALVALUME OND 17 0,43MM 4,00M"/>
    <x v="85"/>
    <n v="14"/>
  </r>
  <r>
    <x v="18"/>
    <s v="TELHA GALVALUME TP 40 0,43MM 8,00M"/>
    <x v="85"/>
    <n v="8"/>
  </r>
  <r>
    <x v="2"/>
    <s v="TELHA GALVALUME TP 40 0,43MM 6,00M"/>
    <x v="86"/>
    <n v="503"/>
  </r>
  <r>
    <x v="0"/>
    <s v="TELHA GALVALUME TP 40 0,43MM"/>
    <x v="86"/>
    <n v="348.6"/>
  </r>
  <r>
    <x v="1"/>
    <s v="TELHA GALVALUME TP 40 0,43MM 4,00M"/>
    <x v="86"/>
    <n v="60"/>
  </r>
  <r>
    <x v="4"/>
    <s v="TELHA GALVALUME TP 40 0,43MM 5,00M"/>
    <x v="86"/>
    <n v="34"/>
  </r>
  <r>
    <x v="17"/>
    <s v="TELHA CUMEEIRA GL TRAP 40 ABAS 300MM"/>
    <x v="86"/>
    <n v="19"/>
  </r>
  <r>
    <x v="6"/>
    <s v="TELHA GALVALUME TP 40 0,43MM 7,00M"/>
    <x v="86"/>
    <n v="14"/>
  </r>
  <r>
    <x v="18"/>
    <s v="TELHA GALVALUME TP 40 0,43MM 8,00M"/>
    <x v="86"/>
    <n v="7"/>
  </r>
  <r>
    <x v="7"/>
    <s v="TELHA GALVALUME OND 17 0,43MM 4,00M"/>
    <x v="86"/>
    <n v="4"/>
  </r>
  <r>
    <x v="15"/>
    <s v="TELHA GALVALUME OND 17 0,43MM"/>
    <x v="87"/>
    <n v="717.65"/>
  </r>
  <r>
    <x v="0"/>
    <s v="TELHA GALVALUME TP 40 0,43MM"/>
    <x v="87"/>
    <n v="348.2"/>
  </r>
  <r>
    <x v="2"/>
    <s v="TELHA GALVALUME TP 40 0,43MM 6,00M"/>
    <x v="87"/>
    <n v="129"/>
  </r>
  <r>
    <x v="5"/>
    <s v="TELHA GALVALUME OND 17 0,43MM 5,00M"/>
    <x v="87"/>
    <n v="65"/>
  </r>
  <r>
    <x v="10"/>
    <s v="TELHA GALVALUME OND 17 0,43MM 6,00M"/>
    <x v="87"/>
    <n v="50"/>
  </r>
  <r>
    <x v="3"/>
    <s v="TELHA GALVALUME TP 40 0,43MM 3,00M"/>
    <x v="87"/>
    <n v="44"/>
  </r>
  <r>
    <x v="1"/>
    <s v="TELHA GALVALUME TP 40 0,43MM 4,00M"/>
    <x v="87"/>
    <n v="40"/>
  </r>
  <r>
    <x v="6"/>
    <s v="TELHA GALVALUME TP 40 0,43MM 7,00M"/>
    <x v="87"/>
    <n v="32"/>
  </r>
  <r>
    <x v="8"/>
    <s v="TELHA GALVALUME OND 17 0,43MM 7,00M"/>
    <x v="87"/>
    <n v="28"/>
  </r>
  <r>
    <x v="9"/>
    <s v="TELHA GALVALUME OND 17 0,43MM 3,00M"/>
    <x v="87"/>
    <n v="23"/>
  </r>
  <r>
    <x v="4"/>
    <s v="TELHA GALVALUME TP 40 0,43MM 5,00M"/>
    <x v="87"/>
    <n v="19"/>
  </r>
  <r>
    <x v="7"/>
    <s v="TELHA GALVALUME OND 17 0,43MM 4,00M"/>
    <x v="87"/>
    <n v="5"/>
  </r>
  <r>
    <x v="0"/>
    <s v="TELHA GALVALUME TP 40 0,43MM"/>
    <x v="88"/>
    <n v="160.4"/>
  </r>
  <r>
    <x v="2"/>
    <s v="TELHA GALVALUME TP 40 0,43MM 6,00M"/>
    <x v="88"/>
    <n v="95"/>
  </r>
  <r>
    <x v="1"/>
    <s v="TELHA GALVALUME TP 40 0,43MM 4,00M"/>
    <x v="88"/>
    <n v="43"/>
  </r>
  <r>
    <x v="4"/>
    <s v="TELHA GALVALUME TP 40 0,43MM 5,00M"/>
    <x v="88"/>
    <n v="31"/>
  </r>
  <r>
    <x v="3"/>
    <s v="TELHA GALVALUME TP 40 0,43MM 3,00M"/>
    <x v="88"/>
    <n v="29"/>
  </r>
  <r>
    <x v="18"/>
    <s v="TELHA GALVALUME TP 40 0,43MM 8,00M"/>
    <x v="88"/>
    <n v="24"/>
  </r>
  <r>
    <x v="17"/>
    <s v="TELHA CUMEEIRA GL TRAP 40 ABAS 300MM"/>
    <x v="88"/>
    <n v="18"/>
  </r>
  <r>
    <x v="6"/>
    <s v="TELHA GALVALUME TP 40 0,43MM 7,00M"/>
    <x v="88"/>
    <n v="15"/>
  </r>
  <r>
    <x v="10"/>
    <s v="TELHA GALVALUME OND 17 0,43MM 6,00M"/>
    <x v="88"/>
    <n v="4"/>
  </r>
  <r>
    <x v="0"/>
    <s v="TELHA GALVALUME TP 40 0,43MM"/>
    <x v="89"/>
    <n v="1285"/>
  </r>
  <r>
    <x v="17"/>
    <s v="TELHA CUMEEIRA GL TRAP 40 ABAS 300MM"/>
    <x v="89"/>
    <n v="94"/>
  </r>
  <r>
    <x v="4"/>
    <s v="TELHA GALVALUME TP 40 0,43MM 5,00M"/>
    <x v="89"/>
    <n v="73"/>
  </r>
  <r>
    <x v="1"/>
    <s v="TELHA GALVALUME TP 40 0,43MM 4,00M"/>
    <x v="89"/>
    <n v="68"/>
  </r>
  <r>
    <x v="2"/>
    <s v="TELHA GALVALUME TP 40 0,43MM 6,00M"/>
    <x v="89"/>
    <n v="55"/>
  </r>
  <r>
    <x v="7"/>
    <s v="TELHA GALVALUME OND 17 0,43MM 4,00M"/>
    <x v="89"/>
    <n v="46"/>
  </r>
  <r>
    <x v="10"/>
    <s v="TELHA GALVALUME OND 17 0,43MM 6,00M"/>
    <x v="89"/>
    <n v="32"/>
  </r>
  <r>
    <x v="5"/>
    <s v="TELHA GALVALUME OND 17 0,43MM 5,00M"/>
    <x v="89"/>
    <n v="19"/>
  </r>
  <r>
    <x v="9"/>
    <s v="TELHA GALVALUME OND 17 0,43MM 3,00M"/>
    <x v="89"/>
    <n v="14"/>
  </r>
  <r>
    <x v="3"/>
    <s v="TELHA GALVALUME TP 40 0,43MM 3,00M"/>
    <x v="89"/>
    <n v="13"/>
  </r>
  <r>
    <x v="6"/>
    <s v="TELHA GALVALUME TP 40 0,43MM 7,00M"/>
    <x v="89"/>
    <n v="5"/>
  </r>
  <r>
    <x v="4"/>
    <s v="TELHA GALVALUME TP 40 0,43MM 5,00M"/>
    <x v="90"/>
    <n v="157"/>
  </r>
  <r>
    <x v="2"/>
    <s v="TELHA GALVALUME TP 40 0,43MM 6,00M"/>
    <x v="90"/>
    <n v="102"/>
  </r>
  <r>
    <x v="1"/>
    <s v="TELHA GALVALUME TP 40 0,43MM 4,00M"/>
    <x v="90"/>
    <n v="79"/>
  </r>
  <r>
    <x v="17"/>
    <s v="TELHA CUMEEIRA GL TRAP 40 ABAS 300MM"/>
    <x v="90"/>
    <n v="44"/>
  </r>
  <r>
    <x v="18"/>
    <s v="TELHA GALVALUME TP 40 0,43MM 8,00M"/>
    <x v="90"/>
    <n v="22"/>
  </r>
  <r>
    <x v="3"/>
    <s v="TELHA GALVALUME TP 40 0,43MM 3,00M"/>
    <x v="90"/>
    <n v="10"/>
  </r>
  <r>
    <x v="6"/>
    <s v="TELHA GALVALUME TP 40 0,43MM 7,00M"/>
    <x v="90"/>
    <n v="9"/>
  </r>
  <r>
    <x v="8"/>
    <s v="TELHA GALVALUME OND 17 0,43MM 7,00M"/>
    <x v="90"/>
    <n v="2"/>
  </r>
  <r>
    <x v="5"/>
    <s v="TELHA GALVALUME OND 17 0,43MM 5,00M"/>
    <x v="90"/>
    <n v="1"/>
  </r>
  <r>
    <x v="10"/>
    <s v="TELHA GALVALUME OND 17 0,43MM 6,00M"/>
    <x v="90"/>
    <n v="1"/>
  </r>
  <r>
    <x v="0"/>
    <s v="TELHA GALVALUME TP 40 0,43MM"/>
    <x v="91"/>
    <n v="302.7"/>
  </r>
  <r>
    <x v="2"/>
    <s v="TELHA GALVALUME TP 40 0,43MM 6,00M"/>
    <x v="91"/>
    <n v="112"/>
  </r>
  <r>
    <x v="5"/>
    <s v="TELHA GALVALUME OND 17 0,43MM 5,00M"/>
    <x v="91"/>
    <n v="70"/>
  </r>
  <r>
    <x v="10"/>
    <s v="TELHA GALVALUME OND 17 0,43MM 6,00M"/>
    <x v="91"/>
    <n v="70"/>
  </r>
  <r>
    <x v="1"/>
    <s v="TELHA GALVALUME TP 40 0,43MM 4,00M"/>
    <x v="91"/>
    <n v="47"/>
  </r>
  <r>
    <x v="4"/>
    <s v="TELHA GALVALUME TP 40 0,43MM 5,00M"/>
    <x v="91"/>
    <n v="42"/>
  </r>
  <r>
    <x v="6"/>
    <s v="TELHA GALVALUME TP 40 0,43MM 7,00M"/>
    <x v="91"/>
    <n v="38"/>
  </r>
  <r>
    <x v="17"/>
    <s v="TELHA CUMEEIRA GL TRAP 40 ABAS 300MM"/>
    <x v="91"/>
    <n v="31"/>
  </r>
  <r>
    <x v="3"/>
    <s v="TELHA GALVALUME TP 40 0,43MM 3,00M"/>
    <x v="91"/>
    <n v="13"/>
  </r>
  <r>
    <x v="18"/>
    <s v="TELHA GALVALUME TP 40 0,43MM 8,00M"/>
    <x v="91"/>
    <n v="11"/>
  </r>
  <r>
    <x v="0"/>
    <s v="TELHA GALVALUME TP 40 0,43MM"/>
    <x v="92"/>
    <n v="669.58"/>
  </r>
  <r>
    <x v="2"/>
    <s v="TELHA GALVALUME TP 40 0,43MM 6,00M"/>
    <x v="92"/>
    <n v="90"/>
  </r>
  <r>
    <x v="4"/>
    <s v="TELHA GALVALUME TP 40 0,43MM 5,00M"/>
    <x v="92"/>
    <n v="71"/>
  </r>
  <r>
    <x v="6"/>
    <s v="TELHA GALVALUME TP 40 0,43MM 7,00M"/>
    <x v="92"/>
    <n v="31"/>
  </r>
  <r>
    <x v="18"/>
    <s v="TELHA GALVALUME TP 40 0,43MM 8,00M"/>
    <x v="92"/>
    <n v="23"/>
  </r>
  <r>
    <x v="7"/>
    <s v="TELHA GALVALUME OND 17 0,43MM 4,00M"/>
    <x v="92"/>
    <n v="23"/>
  </r>
  <r>
    <x v="17"/>
    <s v="TELHA CUMEEIRA GL TRAP 40 ABAS 300MM"/>
    <x v="92"/>
    <n v="22"/>
  </r>
  <r>
    <x v="16"/>
    <s v="TELHA GALVALUME OND 17 0,43MM 8,00M"/>
    <x v="92"/>
    <n v="12"/>
  </r>
  <r>
    <x v="10"/>
    <s v="TELHA GALVALUME OND 17 0,43MM 6,00M"/>
    <x v="92"/>
    <n v="9"/>
  </r>
  <r>
    <x v="3"/>
    <s v="TELHA GALVALUME TP 40 0,43MM 3,00M"/>
    <x v="92"/>
    <n v="4"/>
  </r>
  <r>
    <x v="0"/>
    <s v="TELHA GALVALUME TP 40 0,43MM"/>
    <x v="93"/>
    <n v="150.60000000000002"/>
  </r>
  <r>
    <x v="2"/>
    <s v="TELHA GALVALUME TP 40 0,43MM 6,00M"/>
    <x v="93"/>
    <n v="135"/>
  </r>
  <r>
    <x v="4"/>
    <s v="TELHA GALVALUME TP 40 0,43MM 5,00M"/>
    <x v="93"/>
    <n v="70"/>
  </r>
  <r>
    <x v="1"/>
    <s v="TELHA GALVALUME TP 40 0,43MM 4,00M"/>
    <x v="93"/>
    <n v="29"/>
  </r>
  <r>
    <x v="18"/>
    <s v="TELHA GALVALUME TP 40 0,43MM 8,00M"/>
    <x v="93"/>
    <n v="24"/>
  </r>
  <r>
    <x v="17"/>
    <s v="TELHA CUMEEIRA GL TRAP 40 ABAS 300MM"/>
    <x v="93"/>
    <n v="18"/>
  </r>
  <r>
    <x v="6"/>
    <s v="TELHA GALVALUME TP 40 0,43MM 7,00M"/>
    <x v="93"/>
    <n v="15"/>
  </r>
  <r>
    <x v="3"/>
    <s v="TELHA GALVALUME TP 40 0,43MM 3,00M"/>
    <x v="93"/>
    <n v="14"/>
  </r>
  <r>
    <x v="9"/>
    <s v="TELHA GALVALUME OND 17 0,43MM 3,00M"/>
    <x v="93"/>
    <n v="9"/>
  </r>
  <r>
    <x v="7"/>
    <s v="TELHA GALVALUME OND 17 0,43MM 4,00M"/>
    <x v="93"/>
    <n v="8"/>
  </r>
  <r>
    <x v="8"/>
    <s v="TELHA GALVALUME OND 17 0,43MM 7,00M"/>
    <x v="93"/>
    <n v="7"/>
  </r>
  <r>
    <x v="4"/>
    <s v="TELHA GALVALUME TP 40 0,43MM 5,00M"/>
    <x v="94"/>
    <n v="108"/>
  </r>
  <r>
    <x v="0"/>
    <s v="TELHA GALVALUME TP 40 0,43MM"/>
    <x v="94"/>
    <n v="97.5"/>
  </r>
  <r>
    <x v="2"/>
    <s v="TELHA GALVALUME TP 40 0,43MM 6,00M"/>
    <x v="94"/>
    <n v="84"/>
  </r>
  <r>
    <x v="6"/>
    <s v="TELHA GALVALUME TP 40 0,43MM 7,00M"/>
    <x v="94"/>
    <n v="57"/>
  </r>
  <r>
    <x v="1"/>
    <s v="TELHA GALVALUME TP 40 0,43MM 4,00M"/>
    <x v="94"/>
    <n v="42"/>
  </r>
  <r>
    <x v="18"/>
    <s v="TELHA GALVALUME TP 40 0,43MM 8,00M"/>
    <x v="94"/>
    <n v="36"/>
  </r>
  <r>
    <x v="17"/>
    <s v="TELHA CUMEEIRA GL TRAP 40 ABAS 300MM"/>
    <x v="94"/>
    <n v="35"/>
  </r>
  <r>
    <x v="7"/>
    <s v="TELHA GALVALUME OND 17 0,43MM 4,00M"/>
    <x v="94"/>
    <n v="30"/>
  </r>
  <r>
    <x v="3"/>
    <s v="TELHA GALVALUME TP 40 0,43MM 3,00M"/>
    <x v="94"/>
    <n v="20"/>
  </r>
  <r>
    <x v="5"/>
    <s v="TELHA GALVALUME OND 17 0,43MM 5,00M"/>
    <x v="94"/>
    <n v="9"/>
  </r>
  <r>
    <x v="9"/>
    <s v="TELHA GALVALUME OND 17 0,43MM 3,00M"/>
    <x v="94"/>
    <n v="5"/>
  </r>
  <r>
    <x v="10"/>
    <s v="TELHA GALVALUME OND 17 0,43MM 6,00M"/>
    <x v="94"/>
    <n v="3"/>
  </r>
  <r>
    <x v="0"/>
    <s v="TELHA GALVALUME TP 40 0,43MM"/>
    <x v="95"/>
    <n v="76.849999999999994"/>
  </r>
  <r>
    <x v="1"/>
    <s v="TELHA GALVALUME TP 40 0,43MM 4,00M"/>
    <x v="95"/>
    <n v="73"/>
  </r>
  <r>
    <x v="23"/>
    <s v="TELHA GALVALUME #0,32 TRAP 40 6,00M"/>
    <x v="95"/>
    <n v="62"/>
  </r>
  <r>
    <x v="2"/>
    <s v="TELHA GALVALUME TP 40 0,43MM 6,00M"/>
    <x v="95"/>
    <n v="54"/>
  </r>
  <r>
    <x v="4"/>
    <s v="TELHA GALVALUME TP 40 0,43MM 5,00M"/>
    <x v="95"/>
    <n v="53"/>
  </r>
  <r>
    <x v="9"/>
    <s v="TELHA GALVALUME OND 17 0,43MM 3,00M"/>
    <x v="95"/>
    <n v="41"/>
  </r>
  <r>
    <x v="6"/>
    <s v="TELHA GALVALUME TP 40 0,43MM 7,00M"/>
    <x v="95"/>
    <n v="23"/>
  </r>
  <r>
    <x v="18"/>
    <s v="TELHA GALVALUME TP 40 0,43MM 8,00M"/>
    <x v="95"/>
    <n v="9"/>
  </r>
  <r>
    <x v="3"/>
    <s v="TELHA GALVALUME TP 40 0,43MM 3,00M"/>
    <x v="95"/>
    <n v="3"/>
  </r>
  <r>
    <x v="7"/>
    <s v="TELHA GALVALUME OND 17 0,43MM 4,00M"/>
    <x v="95"/>
    <n v="2"/>
  </r>
  <r>
    <x v="10"/>
    <s v="TELHA GALVALUME OND 17 0,43MM 6,00M"/>
    <x v="95"/>
    <n v="1"/>
  </r>
  <r>
    <x v="15"/>
    <s v="TELHA GALVALUME OND 17 0,43MM"/>
    <x v="96"/>
    <n v="118.8"/>
  </r>
  <r>
    <x v="0"/>
    <s v="TELHA GALVALUME TP 40 0,43MM"/>
    <x v="96"/>
    <n v="60.5"/>
  </r>
  <r>
    <x v="2"/>
    <s v="TELHA GALVALUME TP 40 0,43MM 6,00M"/>
    <x v="96"/>
    <n v="53"/>
  </r>
  <r>
    <x v="7"/>
    <s v="TELHA GALVALUME OND 17 0,43MM 4,00M"/>
    <x v="96"/>
    <n v="50"/>
  </r>
  <r>
    <x v="5"/>
    <s v="TELHA GALVALUME OND 17 0,43MM 5,00M"/>
    <x v="96"/>
    <n v="50"/>
  </r>
  <r>
    <x v="4"/>
    <s v="TELHA GALVALUME TP 40 0,43MM 5,00M"/>
    <x v="96"/>
    <n v="43"/>
  </r>
  <r>
    <x v="18"/>
    <s v="TELHA GALVALUME TP 40 0,43MM 8,00M"/>
    <x v="96"/>
    <n v="19"/>
  </r>
  <r>
    <x v="10"/>
    <s v="TELHA GALVALUME OND 17 0,43MM 6,00M"/>
    <x v="96"/>
    <n v="14"/>
  </r>
  <r>
    <x v="3"/>
    <s v="TELHA GALVALUME TP 40 0,43MM 3,00M"/>
    <x v="96"/>
    <n v="9"/>
  </r>
  <r>
    <x v="17"/>
    <s v="TELHA CUMEEIRA GL TRAP 40 ABAS 300MM"/>
    <x v="96"/>
    <n v="3"/>
  </r>
  <r>
    <x v="9"/>
    <s v="TELHA GALVALUME OND 17 0,43MM 3,00M"/>
    <x v="96"/>
    <n v="2"/>
  </r>
  <r>
    <x v="1"/>
    <s v="TELHA GALVALUME TP 40 0,43MM 4,00M"/>
    <x v="96"/>
    <n v="1"/>
  </r>
  <r>
    <x v="0"/>
    <s v="TELHA GALVALUME TP 40 0,43MM"/>
    <x v="97"/>
    <n v="1117.4000000000001"/>
  </r>
  <r>
    <x v="15"/>
    <s v="TELHA GALVALUME OND 17 0,43MM"/>
    <x v="97"/>
    <n v="75.599999999999994"/>
  </r>
  <r>
    <x v="3"/>
    <s v="TELHA GALVALUME TP 40 0,43MM 3,00M"/>
    <x v="97"/>
    <n v="36"/>
  </r>
  <r>
    <x v="2"/>
    <s v="TELHA GALVALUME TP 40 0,43MM 6,00M"/>
    <x v="97"/>
    <n v="36"/>
  </r>
  <r>
    <x v="1"/>
    <s v="TELHA GALVALUME TP 40 0,43MM 4,00M"/>
    <x v="97"/>
    <n v="23"/>
  </r>
  <r>
    <x v="4"/>
    <s v="TELHA GALVALUME TP 40 0,43MM 5,00M"/>
    <x v="97"/>
    <n v="22"/>
  </r>
  <r>
    <x v="6"/>
    <s v="TELHA GALVALUME TP 40 0,43MM 7,00M"/>
    <x v="97"/>
    <n v="18"/>
  </r>
  <r>
    <x v="5"/>
    <s v="TELHA GALVALUME OND 17 0,43MM 5,00M"/>
    <x v="97"/>
    <n v="16"/>
  </r>
  <r>
    <x v="9"/>
    <s v="TELHA GALVALUME OND 17 0,43MM 3,00M"/>
    <x v="97"/>
    <n v="16"/>
  </r>
  <r>
    <x v="17"/>
    <s v="TELHA CUMEEIRA GL TRAP 40 ABAS 300MM"/>
    <x v="97"/>
    <n v="9"/>
  </r>
  <r>
    <x v="18"/>
    <s v="TELHA GALVALUME TP 40 0,43MM 8,00M"/>
    <x v="97"/>
    <n v="8"/>
  </r>
  <r>
    <x v="7"/>
    <s v="TELHA GALVALUME OND 17 0,43MM 4,00M"/>
    <x v="97"/>
    <n v="4"/>
  </r>
  <r>
    <x v="10"/>
    <s v="TELHA GALVALUME OND 17 0,43MM 6,00M"/>
    <x v="97"/>
    <n v="4"/>
  </r>
  <r>
    <x v="0"/>
    <s v="TELHA GALVALUME TP 40 0,43MM"/>
    <x v="98"/>
    <n v="154.45999999999998"/>
  </r>
  <r>
    <x v="2"/>
    <s v="TELHA GALVALUME TP 40 0,43MM 6,00M"/>
    <x v="98"/>
    <n v="109"/>
  </r>
  <r>
    <x v="4"/>
    <s v="TELHA GALVALUME TP 40 0,43MM 5,00M"/>
    <x v="98"/>
    <n v="65"/>
  </r>
  <r>
    <x v="10"/>
    <s v="TELHA GALVALUME OND 17 0,43MM 6,00M"/>
    <x v="98"/>
    <n v="51"/>
  </r>
  <r>
    <x v="17"/>
    <s v="TELHA CUMEEIRA GL TRAP 40 ABAS 300MM"/>
    <x v="98"/>
    <n v="45"/>
  </r>
  <r>
    <x v="1"/>
    <s v="TELHA GALVALUME TP 40 0,43MM 4,00M"/>
    <x v="98"/>
    <n v="29"/>
  </r>
  <r>
    <x v="5"/>
    <s v="TELHA GALVALUME OND 17 0,43MM 5,00M"/>
    <x v="98"/>
    <n v="12"/>
  </r>
  <r>
    <x v="6"/>
    <s v="TELHA GALVALUME TP 40 0,43MM 7,00M"/>
    <x v="98"/>
    <n v="11"/>
  </r>
  <r>
    <x v="7"/>
    <s v="TELHA GALVALUME OND 17 0,43MM 4,00M"/>
    <x v="98"/>
    <n v="10"/>
  </r>
  <r>
    <x v="3"/>
    <s v="TELHA GALVALUME TP 40 0,43MM 3,00M"/>
    <x v="98"/>
    <n v="7"/>
  </r>
  <r>
    <x v="8"/>
    <s v="TELHA GALVALUME OND 17 0,43MM 7,00M"/>
    <x v="98"/>
    <n v="6"/>
  </r>
  <r>
    <x v="0"/>
    <s v="TELHA GALVALUME TP 40 0,43MM"/>
    <x v="99"/>
    <n v="1002.6999999999999"/>
  </r>
  <r>
    <x v="1"/>
    <s v="TELHA GALVALUME TP 40 0,43MM 4,00M"/>
    <x v="99"/>
    <n v="123"/>
  </r>
  <r>
    <x v="2"/>
    <s v="TELHA GALVALUME TP 40 0,43MM 6,00M"/>
    <x v="99"/>
    <n v="92"/>
  </r>
  <r>
    <x v="4"/>
    <s v="TELHA GALVALUME TP 40 0,43MM 5,00M"/>
    <x v="99"/>
    <n v="64"/>
  </r>
  <r>
    <x v="6"/>
    <s v="TELHA GALVALUME TP 40 0,43MM 7,00M"/>
    <x v="99"/>
    <n v="56"/>
  </r>
  <r>
    <x v="3"/>
    <s v="TELHA GALVALUME TP 40 0,43MM 3,00M"/>
    <x v="99"/>
    <n v="40"/>
  </r>
  <r>
    <x v="5"/>
    <s v="TELHA GALVALUME OND 17 0,43MM 5,00M"/>
    <x v="99"/>
    <n v="21"/>
  </r>
  <r>
    <x v="18"/>
    <s v="TELHA GALVALUME TP 40 0,43MM 8,00M"/>
    <x v="99"/>
    <n v="14"/>
  </r>
  <r>
    <x v="7"/>
    <s v="TELHA GALVALUME OND 17 0,43MM 4,00M"/>
    <x v="99"/>
    <n v="13"/>
  </r>
  <r>
    <x v="10"/>
    <s v="TELHA GALVALUME OND 17 0,43MM 6,00M"/>
    <x v="99"/>
    <n v="13"/>
  </r>
  <r>
    <x v="9"/>
    <s v="TELHA GALVALUME OND 17 0,43MM 3,00M"/>
    <x v="99"/>
    <n v="5"/>
  </r>
  <r>
    <x v="17"/>
    <s v="TELHA CUMEEIRA GL TRAP 40 ABAS 300MM"/>
    <x v="99"/>
    <n v="4"/>
  </r>
  <r>
    <x v="8"/>
    <s v="TELHA GALVALUME OND 17 0,43MM 7,00M"/>
    <x v="99"/>
    <n v="2"/>
  </r>
  <r>
    <x v="0"/>
    <s v="TELHA GALVALUME TP 40 0,43MM"/>
    <x v="100"/>
    <n v="658.4"/>
  </r>
  <r>
    <x v="1"/>
    <s v="TELHA GALVALUME TP 40 0,43MM 4,00M"/>
    <x v="100"/>
    <n v="214"/>
  </r>
  <r>
    <x v="2"/>
    <s v="TELHA GALVALUME TP 40 0,43MM 6,00M"/>
    <x v="100"/>
    <n v="170"/>
  </r>
  <r>
    <x v="6"/>
    <s v="TELHA GALVALUME TP 40 0,43MM 7,00M"/>
    <x v="100"/>
    <n v="147"/>
  </r>
  <r>
    <x v="3"/>
    <s v="TELHA GALVALUME TP 40 0,43MM 3,00M"/>
    <x v="100"/>
    <n v="119"/>
  </r>
  <r>
    <x v="4"/>
    <s v="TELHA GALVALUME TP 40 0,43MM 5,00M"/>
    <x v="100"/>
    <n v="102"/>
  </r>
  <r>
    <x v="17"/>
    <s v="TELHA CUMEEIRA GL TRAP 40 ABAS 300MM"/>
    <x v="100"/>
    <n v="92"/>
  </r>
  <r>
    <x v="5"/>
    <s v="TELHA GALVALUME OND 17 0,43MM 5,00M"/>
    <x v="100"/>
    <n v="36"/>
  </r>
  <r>
    <x v="9"/>
    <s v="TELHA GALVALUME OND 17 0,43MM 3,00M"/>
    <x v="100"/>
    <n v="29"/>
  </r>
  <r>
    <x v="10"/>
    <s v="TELHA GALVALUME OND 17 0,43MM 6,00M"/>
    <x v="100"/>
    <n v="26"/>
  </r>
  <r>
    <x v="7"/>
    <s v="TELHA GALVALUME OND 17 0,43MM 4,00M"/>
    <x v="100"/>
    <n v="21"/>
  </r>
  <r>
    <x v="18"/>
    <s v="TELHA GALVALUME TP 40 0,43MM 8,00M"/>
    <x v="100"/>
    <n v="17"/>
  </r>
  <r>
    <x v="8"/>
    <s v="TELHA GALVALUME OND 17 0,43MM 7,00M"/>
    <x v="100"/>
    <n v="11"/>
  </r>
  <r>
    <x v="0"/>
    <s v="TELHA GALVALUME TP 40 0,43MM"/>
    <x v="101"/>
    <n v="1656.4999999999998"/>
  </r>
  <r>
    <x v="15"/>
    <s v="TELHA GALVALUME OND 17 0,43MM"/>
    <x v="101"/>
    <n v="204.9"/>
  </r>
  <r>
    <x v="2"/>
    <s v="TELHA GALVALUME TP 40 0,43MM 6,00M"/>
    <x v="101"/>
    <n v="160"/>
  </r>
  <r>
    <x v="10"/>
    <s v="TELHA GALVALUME OND 17 0,43MM 6,00M"/>
    <x v="101"/>
    <n v="77"/>
  </r>
  <r>
    <x v="1"/>
    <s v="TELHA GALVALUME TP 40 0,43MM 4,00M"/>
    <x v="101"/>
    <n v="60"/>
  </r>
  <r>
    <x v="4"/>
    <s v="TELHA GALVALUME TP 40 0,43MM 5,00M"/>
    <x v="101"/>
    <n v="57"/>
  </r>
  <r>
    <x v="8"/>
    <s v="TELHA GALVALUME OND 17 0,43MM 7,00M"/>
    <x v="101"/>
    <n v="48"/>
  </r>
  <r>
    <x v="7"/>
    <s v="TELHA GALVALUME OND 17 0,43MM 4,00M"/>
    <x v="101"/>
    <n v="46"/>
  </r>
  <r>
    <x v="3"/>
    <s v="TELHA GALVALUME TP 40 0,43MM 3,00M"/>
    <x v="101"/>
    <n v="44"/>
  </r>
  <r>
    <x v="17"/>
    <s v="TELHA CUMEEIRA GL TRAP 40 ABAS 300MM"/>
    <x v="101"/>
    <n v="31"/>
  </r>
  <r>
    <x v="5"/>
    <s v="TELHA GALVALUME OND 17 0,43MM 5,00M"/>
    <x v="101"/>
    <n v="20"/>
  </r>
  <r>
    <x v="6"/>
    <s v="TELHA GALVALUME TP 40 0,43MM 7,00M"/>
    <x v="101"/>
    <n v="18"/>
  </r>
  <r>
    <x v="0"/>
    <s v="TELHA GALVALUME TP 40 0,43MM"/>
    <x v="102"/>
    <n v="312.7"/>
  </r>
  <r>
    <x v="2"/>
    <s v="TELHA GALVALUME TP 40 0,43MM 6,00M"/>
    <x v="102"/>
    <n v="106"/>
  </r>
  <r>
    <x v="10"/>
    <s v="TELHA GALVALUME OND 17 0,43MM 6,00M"/>
    <x v="102"/>
    <n v="87"/>
  </r>
  <r>
    <x v="8"/>
    <s v="TELHA GALVALUME OND 17 0,43MM 7,00M"/>
    <x v="102"/>
    <n v="56"/>
  </r>
  <r>
    <x v="5"/>
    <s v="TELHA GALVALUME OND 17 0,43MM 5,00M"/>
    <x v="102"/>
    <n v="39"/>
  </r>
  <r>
    <x v="6"/>
    <s v="TELHA GALVALUME TP 40 0,43MM 7,00M"/>
    <x v="102"/>
    <n v="37"/>
  </r>
  <r>
    <x v="1"/>
    <s v="TELHA GALVALUME TP 40 0,43MM 4,00M"/>
    <x v="102"/>
    <n v="26"/>
  </r>
  <r>
    <x v="4"/>
    <s v="TELHA GALVALUME TP 40 0,43MM 5,00M"/>
    <x v="102"/>
    <n v="21"/>
  </r>
  <r>
    <x v="17"/>
    <s v="TELHA CUMEEIRA GL TRAP 40 ABAS 300MM"/>
    <x v="102"/>
    <n v="20"/>
  </r>
  <r>
    <x v="9"/>
    <s v="TELHA GALVALUME OND 17 0,43MM 3,00M"/>
    <x v="102"/>
    <n v="17"/>
  </r>
  <r>
    <x v="18"/>
    <s v="TELHA GALVALUME TP 40 0,43MM 8,00M"/>
    <x v="102"/>
    <n v="13"/>
  </r>
  <r>
    <x v="3"/>
    <s v="TELHA GALVALUME TP 40 0,43MM 3,00M"/>
    <x v="102"/>
    <n v="8"/>
  </r>
  <r>
    <x v="7"/>
    <s v="TELHA GALVALUME OND 17 0,43MM 4,00M"/>
    <x v="102"/>
    <n v="5"/>
  </r>
  <r>
    <x v="2"/>
    <s v="TELHA GALVALUME TP 40 0,43MM 6,00M"/>
    <x v="103"/>
    <n v="270"/>
  </r>
  <r>
    <x v="8"/>
    <s v="TELHA GALVALUME OND 17 0,43MM 7,00M"/>
    <x v="103"/>
    <n v="122"/>
  </r>
  <r>
    <x v="4"/>
    <s v="TELHA GALVALUME TP 40 0,43MM 5,00M"/>
    <x v="103"/>
    <n v="118"/>
  </r>
  <r>
    <x v="17"/>
    <s v="TELHA CUMEEIRA GL TRAP 40 ABAS 300MM"/>
    <x v="103"/>
    <n v="75"/>
  </r>
  <r>
    <x v="10"/>
    <s v="TELHA GALVALUME OND 17 0,43MM 6,00M"/>
    <x v="103"/>
    <n v="67"/>
  </r>
  <r>
    <x v="0"/>
    <s v="TELHA GALVALUME TP 40 0,43MM"/>
    <x v="103"/>
    <n v="54"/>
  </r>
  <r>
    <x v="1"/>
    <s v="TELHA GALVALUME TP 40 0,43MM 4,00M"/>
    <x v="103"/>
    <n v="45"/>
  </r>
  <r>
    <x v="6"/>
    <s v="TELHA GALVALUME TP 40 0,43MM 7,00M"/>
    <x v="103"/>
    <n v="25"/>
  </r>
  <r>
    <x v="3"/>
    <s v="TELHA GALVALUME TP 40 0,43MM 3,00M"/>
    <x v="103"/>
    <n v="10"/>
  </r>
  <r>
    <x v="7"/>
    <s v="TELHA GALVALUME OND 17 0,43MM 4,00M"/>
    <x v="103"/>
    <n v="5"/>
  </r>
  <r>
    <x v="0"/>
    <s v="TELHA GALVALUME TP 40 0,43MM"/>
    <x v="104"/>
    <n v="341.7"/>
  </r>
  <r>
    <x v="6"/>
    <s v="TELHA GALVALUME TP 40 0,43MM 7,00M"/>
    <x v="104"/>
    <n v="121"/>
  </r>
  <r>
    <x v="4"/>
    <s v="TELHA GALVALUME TP 40 0,43MM 5,00M"/>
    <x v="104"/>
    <n v="89"/>
  </r>
  <r>
    <x v="2"/>
    <s v="TELHA GALVALUME TP 40 0,43MM 6,00M"/>
    <x v="104"/>
    <n v="87"/>
  </r>
  <r>
    <x v="9"/>
    <s v="TELHA GALVALUME OND 17 0,43MM 3,00M"/>
    <x v="104"/>
    <n v="72"/>
  </r>
  <r>
    <x v="7"/>
    <s v="TELHA GALVALUME OND 17 0,43MM 4,00M"/>
    <x v="104"/>
    <n v="44"/>
  </r>
  <r>
    <x v="1"/>
    <s v="TELHA GALVALUME TP 40 0,43MM 4,00M"/>
    <x v="104"/>
    <n v="23"/>
  </r>
  <r>
    <x v="10"/>
    <s v="TELHA GALVALUME OND 17 0,43MM 6,00M"/>
    <x v="104"/>
    <n v="21"/>
  </r>
  <r>
    <x v="5"/>
    <s v="TELHA GALVALUME OND 17 0,43MM 5,00M"/>
    <x v="104"/>
    <n v="14"/>
  </r>
  <r>
    <x v="3"/>
    <s v="TELHA GALVALUME TP 40 0,43MM 3,00M"/>
    <x v="104"/>
    <n v="2"/>
  </r>
  <r>
    <x v="18"/>
    <s v="TELHA GALVALUME TP 40 0,43MM 8,00M"/>
    <x v="104"/>
    <n v="1"/>
  </r>
  <r>
    <x v="0"/>
    <s v="TELHA GALVALUME TP 40 0,43MM"/>
    <x v="105"/>
    <n v="659.2"/>
  </r>
  <r>
    <x v="15"/>
    <s v="TELHA GALVALUME OND 17 0,43MM"/>
    <x v="105"/>
    <n v="315.39999999999998"/>
  </r>
  <r>
    <x v="4"/>
    <s v="TELHA GALVALUME TP 40 0,43MM 5,00M"/>
    <x v="105"/>
    <n v="194"/>
  </r>
  <r>
    <x v="2"/>
    <s v="TELHA GALVALUME TP 40 0,43MM 6,00M"/>
    <x v="105"/>
    <n v="127"/>
  </r>
  <r>
    <x v="1"/>
    <s v="TELHA GALVALUME TP 40 0,43MM 4,00M"/>
    <x v="105"/>
    <n v="79"/>
  </r>
  <r>
    <x v="6"/>
    <s v="TELHA GALVALUME TP 40 0,43MM 7,00M"/>
    <x v="105"/>
    <n v="70"/>
  </r>
  <r>
    <x v="18"/>
    <s v="TELHA GALVALUME TP 40 0,43MM 8,00M"/>
    <x v="105"/>
    <n v="64"/>
  </r>
  <r>
    <x v="3"/>
    <s v="TELHA GALVALUME TP 40 0,43MM 3,00M"/>
    <x v="105"/>
    <n v="38"/>
  </r>
  <r>
    <x v="7"/>
    <s v="TELHA GALVALUME OND 17 0,43MM 4,00M"/>
    <x v="105"/>
    <n v="29"/>
  </r>
  <r>
    <x v="17"/>
    <s v="TELHA CUMEEIRA GL TRAP 40 ABAS 300MM"/>
    <x v="105"/>
    <n v="22"/>
  </r>
  <r>
    <x v="9"/>
    <s v="TELHA GALVALUME OND 17 0,43MM 3,00M"/>
    <x v="105"/>
    <n v="12"/>
  </r>
  <r>
    <x v="10"/>
    <s v="TELHA GALVALUME OND 17 0,43MM 6,00M"/>
    <x v="105"/>
    <n v="11"/>
  </r>
  <r>
    <x v="0"/>
    <s v="TELHA GALVALUME TP 40 0,43MM"/>
    <x v="106"/>
    <n v="343.6"/>
  </r>
  <r>
    <x v="1"/>
    <s v="TELHA GALVALUME TP 40 0,43MM 4,00M"/>
    <x v="106"/>
    <n v="114"/>
  </r>
  <r>
    <x v="2"/>
    <s v="TELHA GALVALUME TP 40 0,43MM 6,00M"/>
    <x v="106"/>
    <n v="93"/>
  </r>
  <r>
    <x v="6"/>
    <s v="TELHA GALVALUME TP 40 0,43MM 7,00M"/>
    <x v="106"/>
    <n v="68"/>
  </r>
  <r>
    <x v="15"/>
    <s v="TELHA GALVALUME OND 17 0,43MM"/>
    <x v="106"/>
    <n v="55"/>
  </r>
  <r>
    <x v="17"/>
    <s v="TELHA CUMEEIRA GL TRAP 40 ABAS 300MM"/>
    <x v="106"/>
    <n v="53"/>
  </r>
  <r>
    <x v="4"/>
    <s v="TELHA GALVALUME TP 40 0,43MM 5,00M"/>
    <x v="106"/>
    <n v="43"/>
  </r>
  <r>
    <x v="3"/>
    <s v="TELHA GALVALUME TP 40 0,43MM 3,00M"/>
    <x v="106"/>
    <n v="26"/>
  </r>
  <r>
    <x v="18"/>
    <s v="TELHA GALVALUME TP 40 0,43MM 8,00M"/>
    <x v="106"/>
    <n v="17"/>
  </r>
  <r>
    <x v="5"/>
    <s v="TELHA GALVALUME OND 17 0,43MM 5,00M"/>
    <x v="106"/>
    <n v="16"/>
  </r>
  <r>
    <x v="10"/>
    <s v="TELHA GALVALUME OND 17 0,43MM 6,00M"/>
    <x v="106"/>
    <n v="2"/>
  </r>
  <r>
    <x v="0"/>
    <s v="TELHA GALVALUME TP 40 0,43MM"/>
    <x v="107"/>
    <n v="133.69999999999999"/>
  </r>
  <r>
    <x v="15"/>
    <s v="TELHA GALVALUME OND 17 0,43MM"/>
    <x v="107"/>
    <n v="96.25"/>
  </r>
  <r>
    <x v="6"/>
    <s v="TELHA GALVALUME TP 40 0,43MM 7,00M"/>
    <x v="107"/>
    <n v="66"/>
  </r>
  <r>
    <x v="3"/>
    <s v="TELHA GALVALUME TP 40 0,43MM 3,00M"/>
    <x v="107"/>
    <n v="51"/>
  </r>
  <r>
    <x v="1"/>
    <s v="TELHA GALVALUME TP 40 0,43MM 4,00M"/>
    <x v="107"/>
    <n v="51"/>
  </r>
  <r>
    <x v="4"/>
    <s v="TELHA GALVALUME TP 40 0,43MM 5,00M"/>
    <x v="107"/>
    <n v="40"/>
  </r>
  <r>
    <x v="18"/>
    <s v="TELHA GALVALUME TP 40 0,43MM 8,00M"/>
    <x v="107"/>
    <n v="16"/>
  </r>
  <r>
    <x v="2"/>
    <s v="TELHA GALVALUME TP 40 0,43MM 6,00M"/>
    <x v="107"/>
    <n v="14"/>
  </r>
  <r>
    <x v="10"/>
    <s v="TELHA GALVALUME OND 17 0,43MM 6,00M"/>
    <x v="107"/>
    <n v="13"/>
  </r>
  <r>
    <x v="8"/>
    <s v="TELHA GALVALUME OND 17 0,43MM 7,00M"/>
    <x v="107"/>
    <n v="10"/>
  </r>
  <r>
    <x v="15"/>
    <s v="TELHA GALVALUME OND 17 0,43MM"/>
    <x v="108"/>
    <n v="563"/>
  </r>
  <r>
    <x v="1"/>
    <s v="TELHA GALVALUME TP 40 0,43MM 4,00M"/>
    <x v="108"/>
    <n v="77"/>
  </r>
  <r>
    <x v="4"/>
    <s v="TELHA GALVALUME TP 40 0,43MM 5,00M"/>
    <x v="108"/>
    <n v="41"/>
  </r>
  <r>
    <x v="6"/>
    <s v="TELHA GALVALUME TP 40 0,43MM 7,00M"/>
    <x v="108"/>
    <n v="36"/>
  </r>
  <r>
    <x v="9"/>
    <s v="TELHA GALVALUME OND 17 0,43MM 3,00M"/>
    <x v="108"/>
    <n v="24"/>
  </r>
  <r>
    <x v="2"/>
    <s v="TELHA GALVALUME TP 40 0,43MM 6,00M"/>
    <x v="108"/>
    <n v="16"/>
  </r>
  <r>
    <x v="3"/>
    <s v="TELHA GALVALUME TP 40 0,43MM 3,00M"/>
    <x v="108"/>
    <n v="15"/>
  </r>
  <r>
    <x v="17"/>
    <s v="TELHA CUMEEIRA GL TRAP 40 ABAS 300MM"/>
    <x v="108"/>
    <n v="12"/>
  </r>
  <r>
    <x v="18"/>
    <s v="TELHA GALVALUME TP 40 0,43MM 8,00M"/>
    <x v="108"/>
    <n v="2"/>
  </r>
  <r>
    <x v="0"/>
    <s v="TELHA GALVALUME TP 40 0,43MM"/>
    <x v="109"/>
    <n v="576.65"/>
  </r>
  <r>
    <x v="6"/>
    <s v="TELHA GALVALUME TP 40 0,43MM 7,00M"/>
    <x v="109"/>
    <n v="318"/>
  </r>
  <r>
    <x v="2"/>
    <s v="TELHA GALVALUME TP 40 0,43MM 6,00M"/>
    <x v="109"/>
    <n v="55"/>
  </r>
  <r>
    <x v="4"/>
    <s v="TELHA GALVALUME TP 40 0,43MM 5,00M"/>
    <x v="109"/>
    <n v="47"/>
  </r>
  <r>
    <x v="1"/>
    <s v="TELHA GALVALUME TP 40 0,43MM 4,00M"/>
    <x v="109"/>
    <n v="30"/>
  </r>
  <r>
    <x v="16"/>
    <s v="TELHA GALVALUME OND 17 0,43MM 8,00M"/>
    <x v="109"/>
    <n v="21"/>
  </r>
  <r>
    <x v="3"/>
    <s v="TELHA GALVALUME TP 40 0,43MM 3,00M"/>
    <x v="109"/>
    <n v="20"/>
  </r>
  <r>
    <x v="10"/>
    <s v="TELHA GALVALUME OND 17 0,43MM 6,00M"/>
    <x v="109"/>
    <n v="17"/>
  </r>
  <r>
    <x v="17"/>
    <s v="TELHA CUMEEIRA GL TRAP 40 ABAS 300MM"/>
    <x v="109"/>
    <n v="14"/>
  </r>
  <r>
    <x v="5"/>
    <s v="TELHA GALVALUME OND 17 0,43MM 5,00M"/>
    <x v="109"/>
    <n v="14"/>
  </r>
  <r>
    <x v="18"/>
    <s v="TELHA GALVALUME TP 40 0,43MM 8,00M"/>
    <x v="109"/>
    <n v="9"/>
  </r>
  <r>
    <x v="0"/>
    <s v="TELHA GALVALUME TP 40 0,43MM"/>
    <x v="110"/>
    <n v="455"/>
  </r>
  <r>
    <x v="4"/>
    <s v="TELHA GALVALUME TP 40 0,43MM 5,00M"/>
    <x v="110"/>
    <n v="109"/>
  </r>
  <r>
    <x v="1"/>
    <s v="TELHA GALVALUME TP 40 0,43MM 4,00M"/>
    <x v="110"/>
    <n v="82"/>
  </r>
  <r>
    <x v="6"/>
    <s v="TELHA GALVALUME TP 40 0,43MM 7,00M"/>
    <x v="110"/>
    <n v="77"/>
  </r>
  <r>
    <x v="2"/>
    <s v="TELHA GALVALUME TP 40 0,43MM 6,00M"/>
    <x v="110"/>
    <n v="57"/>
  </r>
  <r>
    <x v="10"/>
    <s v="TELHA GALVALUME OND 17 0,43MM 6,00M"/>
    <x v="110"/>
    <n v="32"/>
  </r>
  <r>
    <x v="3"/>
    <s v="TELHA GALVALUME TP 40 0,43MM 3,00M"/>
    <x v="110"/>
    <n v="24"/>
  </r>
  <r>
    <x v="8"/>
    <s v="TELHA GALVALUME OND 17 0,43MM 7,00M"/>
    <x v="110"/>
    <n v="24"/>
  </r>
  <r>
    <x v="18"/>
    <s v="TELHA GALVALUME TP 40 0,43MM 8,00M"/>
    <x v="110"/>
    <n v="20"/>
  </r>
  <r>
    <x v="7"/>
    <s v="TELHA GALVALUME OND 17 0,43MM 4,00M"/>
    <x v="110"/>
    <n v="8"/>
  </r>
  <r>
    <x v="0"/>
    <s v="TELHA GALVALUME TP 40 0,43MM"/>
    <x v="111"/>
    <n v="151"/>
  </r>
  <r>
    <x v="15"/>
    <s v="TELHA GALVALUME OND 17 0,43MM"/>
    <x v="111"/>
    <n v="127"/>
  </r>
  <r>
    <x v="6"/>
    <s v="TELHA GALVALUME TP 40 0,43MM 7,00M"/>
    <x v="111"/>
    <n v="59"/>
  </r>
  <r>
    <x v="2"/>
    <s v="TELHA GALVALUME TP 40 0,43MM 6,00M"/>
    <x v="111"/>
    <n v="51"/>
  </r>
  <r>
    <x v="3"/>
    <s v="TELHA GALVALUME TP 40 0,43MM 3,00M"/>
    <x v="111"/>
    <n v="38"/>
  </r>
  <r>
    <x v="1"/>
    <s v="TELHA GALVALUME TP 40 0,43MM 4,00M"/>
    <x v="111"/>
    <n v="26"/>
  </r>
  <r>
    <x v="10"/>
    <s v="TELHA GALVALUME OND 17 0,43MM 6,00M"/>
    <x v="111"/>
    <n v="24"/>
  </r>
  <r>
    <x v="4"/>
    <s v="TELHA GALVALUME TP 40 0,43MM 5,00M"/>
    <x v="111"/>
    <n v="20"/>
  </r>
  <r>
    <x v="16"/>
    <s v="TELHA GALVALUME OND 17 0,43MM 8,00M"/>
    <x v="111"/>
    <n v="12"/>
  </r>
  <r>
    <x v="8"/>
    <s v="TELHA GALVALUME OND 17 0,43MM 7,00M"/>
    <x v="111"/>
    <n v="8"/>
  </r>
  <r>
    <x v="0"/>
    <s v="TELHA GALVALUME TP 40 0,43MM"/>
    <x v="112"/>
    <n v="583.95000000000005"/>
  </r>
  <r>
    <x v="2"/>
    <s v="TELHA GALVALUME TP 40 0,43MM 6,00M"/>
    <x v="112"/>
    <n v="407"/>
  </r>
  <r>
    <x v="15"/>
    <s v="TELHA GALVALUME OND 17 0,43MM"/>
    <x v="112"/>
    <n v="393.6"/>
  </r>
  <r>
    <x v="4"/>
    <s v="TELHA GALVALUME TP 40 0,43MM 5,00M"/>
    <x v="112"/>
    <n v="150"/>
  </r>
  <r>
    <x v="18"/>
    <s v="TELHA GALVALUME TP 40 0,43MM 8,00M"/>
    <x v="112"/>
    <n v="54"/>
  </r>
  <r>
    <x v="6"/>
    <s v="TELHA GALVALUME TP 40 0,43MM 7,00M"/>
    <x v="112"/>
    <n v="53"/>
  </r>
  <r>
    <x v="8"/>
    <s v="TELHA GALVALUME OND 17 0,43MM 7,00M"/>
    <x v="112"/>
    <n v="44"/>
  </r>
  <r>
    <x v="1"/>
    <s v="TELHA GALVALUME TP 40 0,43MM 4,00M"/>
    <x v="112"/>
    <n v="38"/>
  </r>
  <r>
    <x v="10"/>
    <s v="TELHA GALVALUME OND 17 0,43MM 6,00M"/>
    <x v="112"/>
    <n v="36"/>
  </r>
  <r>
    <x v="17"/>
    <s v="TELHA CUMEEIRA GL TRAP 40 ABAS 300MM"/>
    <x v="112"/>
    <n v="20"/>
  </r>
  <r>
    <x v="9"/>
    <s v="TELHA GALVALUME OND 17 0,43MM 3,00M"/>
    <x v="112"/>
    <n v="20"/>
  </r>
  <r>
    <x v="3"/>
    <s v="TELHA GALVALUME TP 40 0,43MM 3,00M"/>
    <x v="112"/>
    <n v="12"/>
  </r>
  <r>
    <x v="7"/>
    <s v="TELHA GALVALUME OND 17 0,43MM 4,00M"/>
    <x v="112"/>
    <n v="2"/>
  </r>
  <r>
    <x v="2"/>
    <s v="TELHA GALVALUME TP 40 0,43MM 6,00M"/>
    <x v="113"/>
    <n v="116"/>
  </r>
  <r>
    <x v="0"/>
    <s v="TELHA GALVALUME TP 40 0,43MM"/>
    <x v="113"/>
    <n v="72.900000000000006"/>
  </r>
  <r>
    <x v="4"/>
    <s v="TELHA GALVALUME TP 40 0,43MM 5,00M"/>
    <x v="113"/>
    <n v="68"/>
  </r>
  <r>
    <x v="1"/>
    <s v="TELHA GALVALUME TP 40 0,43MM 4,00M"/>
    <x v="113"/>
    <n v="55"/>
  </r>
  <r>
    <x v="6"/>
    <s v="TELHA GALVALUME TP 40 0,43MM 7,00M"/>
    <x v="113"/>
    <n v="23"/>
  </r>
  <r>
    <x v="3"/>
    <s v="TELHA GALVALUME TP 40 0,43MM 3,00M"/>
    <x v="113"/>
    <n v="22"/>
  </r>
  <r>
    <x v="10"/>
    <s v="TELHA GALVALUME OND 17 0,43MM 6,00M"/>
    <x v="113"/>
    <n v="12"/>
  </r>
  <r>
    <x v="9"/>
    <s v="TELHA GALVALUME OND 17 0,43MM 3,00M"/>
    <x v="113"/>
    <n v="10"/>
  </r>
  <r>
    <x v="7"/>
    <s v="TELHA GALVALUME OND 17 0,43MM 4,00M"/>
    <x v="113"/>
    <n v="5"/>
  </r>
  <r>
    <x v="0"/>
    <s v="TELHA GALVALUME TP 40 0,43MM"/>
    <x v="114"/>
    <n v="826.2"/>
  </r>
  <r>
    <x v="2"/>
    <s v="TELHA GALVALUME TP 40 0,43MM 6,00M"/>
    <x v="114"/>
    <n v="173"/>
  </r>
  <r>
    <x v="17"/>
    <s v="TELHA CUMEEIRA GL TRAP 40 ABAS 300MM"/>
    <x v="114"/>
    <n v="163"/>
  </r>
  <r>
    <x v="6"/>
    <s v="TELHA GALVALUME TP 40 0,43MM 7,00M"/>
    <x v="114"/>
    <n v="70"/>
  </r>
  <r>
    <x v="4"/>
    <s v="TELHA GALVALUME TP 40 0,43MM 5,00M"/>
    <x v="114"/>
    <n v="30"/>
  </r>
  <r>
    <x v="5"/>
    <s v="TELHA GALVALUME OND 17 0,43MM 5,00M"/>
    <x v="114"/>
    <n v="20"/>
  </r>
  <r>
    <x v="1"/>
    <s v="TELHA GALVALUME TP 40 0,43MM 4,00M"/>
    <x v="114"/>
    <n v="17"/>
  </r>
  <r>
    <x v="16"/>
    <s v="TELHA GALVALUME OND 17 0,43MM 8,00M"/>
    <x v="114"/>
    <n v="14"/>
  </r>
  <r>
    <x v="3"/>
    <s v="TELHA GALVALUME TP 40 0,43MM 3,00M"/>
    <x v="114"/>
    <n v="14"/>
  </r>
  <r>
    <x v="18"/>
    <s v="TELHA GALVALUME TP 40 0,43MM 8,00M"/>
    <x v="114"/>
    <n v="11"/>
  </r>
  <r>
    <x v="10"/>
    <s v="TELHA GALVALUME OND 17 0,43MM 6,00M"/>
    <x v="114"/>
    <n v="10"/>
  </r>
  <r>
    <x v="8"/>
    <s v="TELHA GALVALUME OND 17 0,43MM 7,00M"/>
    <x v="114"/>
    <n v="1"/>
  </r>
  <r>
    <x v="7"/>
    <s v="TELHA GALVALUME OND 17 0,43MM 4,00M"/>
    <x v="114"/>
    <n v="1"/>
  </r>
  <r>
    <x v="0"/>
    <s v="TELHA GALVALUME TP 40 0,43MM"/>
    <x v="115"/>
    <n v="383"/>
  </r>
  <r>
    <x v="2"/>
    <s v="TELHA GALVALUME TP 40 0,43MM 6,00M"/>
    <x v="115"/>
    <n v="101"/>
  </r>
  <r>
    <x v="1"/>
    <s v="TELHA GALVALUME TP 40 0,43MM 4,00M"/>
    <x v="115"/>
    <n v="75"/>
  </r>
  <r>
    <x v="10"/>
    <s v="TELHA GALVALUME OND 17 0,43MM 6,00M"/>
    <x v="115"/>
    <n v="46"/>
  </r>
  <r>
    <x v="3"/>
    <s v="TELHA GALVALUME TP 40 0,43MM 3,00M"/>
    <x v="115"/>
    <n v="40"/>
  </r>
  <r>
    <x v="4"/>
    <s v="TELHA GALVALUME TP 40 0,43MM 5,00M"/>
    <x v="115"/>
    <n v="32"/>
  </r>
  <r>
    <x v="17"/>
    <s v="TELHA CUMEEIRA GL TRAP 40 ABAS 300MM"/>
    <x v="115"/>
    <n v="31"/>
  </r>
  <r>
    <x v="6"/>
    <s v="TELHA GALVALUME TP 40 0,43MM 7,00M"/>
    <x v="115"/>
    <n v="18"/>
  </r>
  <r>
    <x v="18"/>
    <s v="TELHA GALVALUME TP 40 0,43MM 8,00M"/>
    <x v="115"/>
    <n v="15"/>
  </r>
  <r>
    <x v="16"/>
    <s v="TELHA GALVALUME OND 17 0,43MM 8,00M"/>
    <x v="115"/>
    <n v="14"/>
  </r>
  <r>
    <x v="0"/>
    <s v="TELHA GALVALUME TP 40 0,43MM"/>
    <x v="116"/>
    <n v="620"/>
  </r>
  <r>
    <x v="2"/>
    <s v="TELHA GALVALUME TP 40 0,43MM 6,00M"/>
    <x v="116"/>
    <n v="74"/>
  </r>
  <r>
    <x v="1"/>
    <s v="TELHA GALVALUME TP 40 0,43MM 4,00M"/>
    <x v="116"/>
    <n v="57"/>
  </r>
  <r>
    <x v="6"/>
    <s v="TELHA GALVALUME TP 40 0,43MM 7,00M"/>
    <x v="116"/>
    <n v="28"/>
  </r>
  <r>
    <x v="7"/>
    <s v="TELHA GALVALUME OND 17 0,43MM 4,00M"/>
    <x v="116"/>
    <n v="21"/>
  </r>
  <r>
    <x v="4"/>
    <s v="TELHA GALVALUME TP 40 0,43MM 5,00M"/>
    <x v="116"/>
    <n v="19"/>
  </r>
  <r>
    <x v="8"/>
    <s v="TELHA GALVALUME OND 17 0,43MM 7,00M"/>
    <x v="116"/>
    <n v="8"/>
  </r>
  <r>
    <x v="17"/>
    <s v="TELHA CUMEEIRA GL TRAP 40 ABAS 300MM"/>
    <x v="116"/>
    <n v="6"/>
  </r>
  <r>
    <x v="9"/>
    <s v="TELHA GALVALUME OND 17 0,43MM 3,00M"/>
    <x v="116"/>
    <n v="5"/>
  </r>
  <r>
    <x v="3"/>
    <s v="TELHA GALVALUME TP 40 0,43MM 3,00M"/>
    <x v="116"/>
    <n v="4"/>
  </r>
  <r>
    <x v="5"/>
    <s v="TELHA GALVALUME OND 17 0,43MM 5,00M"/>
    <x v="116"/>
    <n v="3"/>
  </r>
  <r>
    <x v="18"/>
    <s v="TELHA GALVALUME TP 40 0,43MM 8,00M"/>
    <x v="116"/>
    <n v="2"/>
  </r>
  <r>
    <x v="15"/>
    <s v="TELHA GALVALUME OND 17 0,43MM"/>
    <x v="117"/>
    <n v="1252.3"/>
  </r>
  <r>
    <x v="4"/>
    <s v="TELHA GALVALUME TP 40 0,43MM 5,00M"/>
    <x v="117"/>
    <n v="43"/>
  </r>
  <r>
    <x v="7"/>
    <s v="TELHA GALVALUME OND 17 0,43MM 4,00M"/>
    <x v="117"/>
    <n v="22"/>
  </r>
  <r>
    <x v="6"/>
    <s v="TELHA GALVALUME TP 40 0,43MM 7,00M"/>
    <x v="117"/>
    <n v="21"/>
  </r>
  <r>
    <x v="3"/>
    <s v="TELHA GALVALUME TP 40 0,43MM 3,00M"/>
    <x v="117"/>
    <n v="19"/>
  </r>
  <r>
    <x v="2"/>
    <s v="TELHA GALVALUME TP 40 0,43MM 6,00M"/>
    <x v="117"/>
    <n v="15"/>
  </r>
  <r>
    <x v="17"/>
    <s v="TELHA CUMEEIRA GL TRAP 40 ABAS 300MM"/>
    <x v="117"/>
    <n v="12"/>
  </r>
  <r>
    <x v="8"/>
    <s v="TELHA GALVALUME OND 17 0,43MM 7,00M"/>
    <x v="117"/>
    <n v="12"/>
  </r>
  <r>
    <x v="10"/>
    <s v="TELHA GALVALUME OND 17 0,43MM 6,00M"/>
    <x v="117"/>
    <n v="12"/>
  </r>
  <r>
    <x v="5"/>
    <s v="TELHA GALVALUME OND 17 0,43MM 5,00M"/>
    <x v="117"/>
    <n v="12"/>
  </r>
  <r>
    <x v="1"/>
    <s v="TELHA GALVALUME TP 40 0,43MM 4,00M"/>
    <x v="117"/>
    <n v="4"/>
  </r>
  <r>
    <x v="15"/>
    <s v="TELHA GALVALUME OND 17 0,43MM"/>
    <x v="118"/>
    <n v="842"/>
  </r>
  <r>
    <x v="0"/>
    <s v="TELHA GALVALUME TP 40 0,43MM"/>
    <x v="118"/>
    <n v="291"/>
  </r>
  <r>
    <x v="2"/>
    <s v="TELHA GALVALUME TP 40 0,43MM 6,00M"/>
    <x v="118"/>
    <n v="227"/>
  </r>
  <r>
    <x v="4"/>
    <s v="TELHA GALVALUME TP 40 0,43MM 5,00M"/>
    <x v="118"/>
    <n v="103"/>
  </r>
  <r>
    <x v="6"/>
    <s v="TELHA GALVALUME TP 40 0,43MM 7,00M"/>
    <x v="118"/>
    <n v="82"/>
  </r>
  <r>
    <x v="1"/>
    <s v="TELHA GALVALUME TP 40 0,43MM 4,00M"/>
    <x v="118"/>
    <n v="56"/>
  </r>
  <r>
    <x v="3"/>
    <s v="TELHA GALVALUME TP 40 0,43MM 3,00M"/>
    <x v="118"/>
    <n v="43"/>
  </r>
  <r>
    <x v="17"/>
    <s v="TELHA CUMEEIRA GL TRAP 40 ABAS 300MM"/>
    <x v="118"/>
    <n v="30"/>
  </r>
  <r>
    <x v="7"/>
    <s v="TELHA GALVALUME OND 17 0,43MM 4,00M"/>
    <x v="118"/>
    <n v="7"/>
  </r>
  <r>
    <x v="2"/>
    <s v="TELHA GALVALUME TP 40 0,43MM 6,00M"/>
    <x v="119"/>
    <n v="87"/>
  </r>
  <r>
    <x v="0"/>
    <s v="TELHA GALVALUME TP 40 0,43MM"/>
    <x v="119"/>
    <n v="76.8"/>
  </r>
  <r>
    <x v="17"/>
    <s v="TELHA CUMEEIRA GL TRAP 40 ABAS 300MM"/>
    <x v="119"/>
    <n v="60"/>
  </r>
  <r>
    <x v="6"/>
    <s v="TELHA GALVALUME TP 40 0,43MM 7,00M"/>
    <x v="119"/>
    <n v="36"/>
  </r>
  <r>
    <x v="4"/>
    <s v="TELHA GALVALUME TP 40 0,43MM 5,00M"/>
    <x v="119"/>
    <n v="34"/>
  </r>
  <r>
    <x v="10"/>
    <s v="TELHA GALVALUME OND 17 0,43MM 6,00M"/>
    <x v="119"/>
    <n v="34"/>
  </r>
  <r>
    <x v="3"/>
    <s v="TELHA GALVALUME TP 40 0,43MM 3,00M"/>
    <x v="119"/>
    <n v="24"/>
  </r>
  <r>
    <x v="1"/>
    <s v="TELHA GALVALUME TP 40 0,43MM 4,00M"/>
    <x v="119"/>
    <n v="22"/>
  </r>
  <r>
    <x v="9"/>
    <s v="TELHA GALVALUME OND 17 0,43MM 3,00M"/>
    <x v="119"/>
    <n v="15"/>
  </r>
  <r>
    <x v="5"/>
    <s v="TELHA GALVALUME OND 17 0,43MM 5,00M"/>
    <x v="119"/>
    <n v="6"/>
  </r>
  <r>
    <x v="8"/>
    <s v="TELHA GALVALUME OND 17 0,43MM 7,00M"/>
    <x v="119"/>
    <n v="4"/>
  </r>
  <r>
    <x v="0"/>
    <s v="TELHA GALVALUME TP 40 0,43MM"/>
    <x v="120"/>
    <n v="214.1"/>
  </r>
  <r>
    <x v="2"/>
    <s v="TELHA GALVALUME TP 40 0,43MM 6,00M"/>
    <x v="120"/>
    <n v="93"/>
  </r>
  <r>
    <x v="4"/>
    <s v="TELHA GALVALUME TP 40 0,43MM 5,00M"/>
    <x v="120"/>
    <n v="53"/>
  </r>
  <r>
    <x v="6"/>
    <s v="TELHA GALVALUME TP 40 0,43MM 7,00M"/>
    <x v="120"/>
    <n v="45"/>
  </r>
  <r>
    <x v="10"/>
    <s v="TELHA GALVALUME OND 17 0,43MM 6,00M"/>
    <x v="120"/>
    <n v="42"/>
  </r>
  <r>
    <x v="7"/>
    <s v="TELHA GALVALUME OND 17 0,43MM 4,00M"/>
    <x v="120"/>
    <n v="40"/>
  </r>
  <r>
    <x v="3"/>
    <s v="TELHA GALVALUME TP 40 0,43MM 3,00M"/>
    <x v="120"/>
    <n v="30"/>
  </r>
  <r>
    <x v="16"/>
    <s v="TELHA GALVALUME OND 17 0,43MM 8,00M"/>
    <x v="120"/>
    <n v="20"/>
  </r>
  <r>
    <x v="9"/>
    <s v="TELHA GALVALUME OND 17 0,43MM 3,00M"/>
    <x v="120"/>
    <n v="19"/>
  </r>
  <r>
    <x v="1"/>
    <s v="TELHA GALVALUME TP 40 0,43MM 4,00M"/>
    <x v="120"/>
    <n v="17"/>
  </r>
  <r>
    <x v="8"/>
    <s v="TELHA GALVALUME OND 17 0,43MM 7,00M"/>
    <x v="120"/>
    <n v="16"/>
  </r>
  <r>
    <x v="5"/>
    <s v="TELHA GALVALUME OND 17 0,43MM 5,00M"/>
    <x v="120"/>
    <n v="7"/>
  </r>
  <r>
    <x v="0"/>
    <s v="TELHA GALVALUME TP 40 0,43MM"/>
    <x v="121"/>
    <n v="192"/>
  </r>
  <r>
    <x v="6"/>
    <s v="TELHA GALVALUME TP 40 0,43MM 7,00M"/>
    <x v="121"/>
    <n v="52"/>
  </r>
  <r>
    <x v="17"/>
    <s v="TELHA CUMEEIRA GL TRAP 40 ABAS 300MM"/>
    <x v="121"/>
    <n v="26"/>
  </r>
  <r>
    <x v="2"/>
    <s v="TELHA GALVALUME TP 40 0,43MM 6,00M"/>
    <x v="121"/>
    <n v="17"/>
  </r>
  <r>
    <x v="4"/>
    <s v="TELHA GALVALUME TP 40 0,43MM 5,00M"/>
    <x v="122"/>
    <n v="84"/>
  </r>
  <r>
    <x v="9"/>
    <s v="TELHA GALVALUME OND 17 0,43MM 3,00M"/>
    <x v="122"/>
    <n v="41"/>
  </r>
  <r>
    <x v="2"/>
    <s v="TELHA GALVALUME TP 40 0,43MM 6,00M"/>
    <x v="122"/>
    <n v="40"/>
  </r>
  <r>
    <x v="0"/>
    <s v="TELHA GALVALUME TP 40 0,43MM"/>
    <x v="122"/>
    <n v="29.6"/>
  </r>
  <r>
    <x v="6"/>
    <s v="TELHA GALVALUME TP 40 0,43MM 7,00M"/>
    <x v="122"/>
    <n v="25"/>
  </r>
  <r>
    <x v="10"/>
    <s v="TELHA GALVALUME OND 17 0,43MM 6,00M"/>
    <x v="122"/>
    <n v="15"/>
  </r>
  <r>
    <x v="3"/>
    <s v="TELHA GALVALUME TP 40 0,43MM 3,00M"/>
    <x v="122"/>
    <n v="5"/>
  </r>
  <r>
    <x v="18"/>
    <s v="TELHA GALVALUME TP 40 0,43MM 8,00M"/>
    <x v="122"/>
    <n v="4"/>
  </r>
  <r>
    <x v="1"/>
    <s v="TELHA GALVALUME TP 40 0,43MM 4,00M"/>
    <x v="122"/>
    <n v="1"/>
  </r>
  <r>
    <x v="0"/>
    <s v="TELHA GALVALUME TP 40 0,43MM"/>
    <x v="123"/>
    <n v="390.5"/>
  </r>
  <r>
    <x v="2"/>
    <s v="TELHA GALVALUME TP 40 0,43MM 6,00M"/>
    <x v="123"/>
    <n v="79"/>
  </r>
  <r>
    <x v="1"/>
    <s v="TELHA GALVALUME TP 40 0,43MM 4,00M"/>
    <x v="123"/>
    <n v="66"/>
  </r>
  <r>
    <x v="4"/>
    <s v="TELHA GALVALUME TP 40 0,43MM 5,00M"/>
    <x v="123"/>
    <n v="57"/>
  </r>
  <r>
    <x v="6"/>
    <s v="TELHA GALVALUME TP 40 0,43MM 7,00M"/>
    <x v="123"/>
    <n v="56"/>
  </r>
  <r>
    <x v="3"/>
    <s v="TELHA GALVALUME TP 40 0,43MM 3,00M"/>
    <x v="123"/>
    <n v="44"/>
  </r>
  <r>
    <x v="17"/>
    <s v="TELHA CUMEEIRA GL TRAP 40 ABAS 300MM"/>
    <x v="123"/>
    <n v="28"/>
  </r>
  <r>
    <x v="10"/>
    <s v="TELHA GALVALUME OND 17 0,43MM 6,00M"/>
    <x v="123"/>
    <n v="27"/>
  </r>
  <r>
    <x v="9"/>
    <s v="TELHA GALVALUME OND 17 0,43MM 3,00M"/>
    <x v="123"/>
    <n v="20"/>
  </r>
  <r>
    <x v="18"/>
    <s v="TELHA GALVALUME TP 40 0,43MM 8,00M"/>
    <x v="123"/>
    <n v="7"/>
  </r>
  <r>
    <x v="0"/>
    <s v="TELHA GALVALUME TP 40 0,43MM"/>
    <x v="124"/>
    <n v="614.6"/>
  </r>
  <r>
    <x v="2"/>
    <s v="TELHA GALVALUME TP 40 0,43MM 6,00M"/>
    <x v="124"/>
    <n v="147"/>
  </r>
  <r>
    <x v="1"/>
    <s v="TELHA GALVALUME TP 40 0,43MM 4,00M"/>
    <x v="124"/>
    <n v="116"/>
  </r>
  <r>
    <x v="4"/>
    <s v="TELHA GALVALUME TP 40 0,43MM 5,00M"/>
    <x v="124"/>
    <n v="90"/>
  </r>
  <r>
    <x v="3"/>
    <s v="TELHA GALVALUME TP 40 0,43MM 3,00M"/>
    <x v="124"/>
    <n v="87"/>
  </r>
  <r>
    <x v="17"/>
    <s v="TELHA CUMEEIRA GL TRAP 40 ABAS 300MM"/>
    <x v="124"/>
    <n v="24"/>
  </r>
  <r>
    <x v="6"/>
    <s v="TELHA GALVALUME TP 40 0,43MM 7,00M"/>
    <x v="124"/>
    <n v="19"/>
  </r>
  <r>
    <x v="9"/>
    <s v="TELHA GALVALUME OND 17 0,43MM 3,00M"/>
    <x v="124"/>
    <n v="6"/>
  </r>
  <r>
    <x v="10"/>
    <s v="TELHA GALVALUME OND 17 0,43MM 6,00M"/>
    <x v="124"/>
    <n v="6"/>
  </r>
  <r>
    <x v="15"/>
    <s v="TELHA GALVALUME OND 17 0,43MM"/>
    <x v="125"/>
    <n v="1170.5"/>
  </r>
  <r>
    <x v="2"/>
    <s v="TELHA GALVALUME TP 40 0,43MM 6,00M"/>
    <x v="125"/>
    <n v="82"/>
  </r>
  <r>
    <x v="4"/>
    <s v="TELHA GALVALUME TP 40 0,43MM 5,00M"/>
    <x v="125"/>
    <n v="53"/>
  </r>
  <r>
    <x v="8"/>
    <s v="TELHA GALVALUME OND 17 0,43MM 7,00M"/>
    <x v="125"/>
    <n v="50"/>
  </r>
  <r>
    <x v="7"/>
    <s v="TELHA GALVALUME OND 17 0,43MM 4,00M"/>
    <x v="125"/>
    <n v="48"/>
  </r>
  <r>
    <x v="6"/>
    <s v="TELHA GALVALUME TP 40 0,43MM 7,00M"/>
    <x v="125"/>
    <n v="48"/>
  </r>
  <r>
    <x v="17"/>
    <s v="TELHA CUMEEIRA GL TRAP 40 ABAS 300MM"/>
    <x v="125"/>
    <n v="29"/>
  </r>
  <r>
    <x v="10"/>
    <s v="TELHA GALVALUME OND 17 0,43MM 6,00M"/>
    <x v="125"/>
    <n v="20"/>
  </r>
  <r>
    <x v="3"/>
    <s v="TELHA GALVALUME TP 40 0,43MM 3,00M"/>
    <x v="125"/>
    <n v="19"/>
  </r>
  <r>
    <x v="1"/>
    <s v="TELHA GALVALUME TP 40 0,43MM 4,00M"/>
    <x v="125"/>
    <n v="15"/>
  </r>
  <r>
    <x v="5"/>
    <s v="TELHA GALVALUME OND 17 0,43MM 5,00M"/>
    <x v="125"/>
    <n v="12"/>
  </r>
  <r>
    <x v="0"/>
    <s v="TELHA GALVALUME TP 40 0,43MM"/>
    <x v="126"/>
    <n v="171"/>
  </r>
  <r>
    <x v="2"/>
    <s v="TELHA GALVALUME TP 40 0,43MM 6,00M"/>
    <x v="126"/>
    <n v="97"/>
  </r>
  <r>
    <x v="4"/>
    <s v="TELHA GALVALUME TP 40 0,43MM 5,00M"/>
    <x v="126"/>
    <n v="85"/>
  </r>
  <r>
    <x v="17"/>
    <s v="TELHA CUMEEIRA GL TRAP 40 ABAS 300MM"/>
    <x v="126"/>
    <n v="55"/>
  </r>
  <r>
    <x v="1"/>
    <s v="TELHA GALVALUME TP 40 0,43MM 4,00M"/>
    <x v="126"/>
    <n v="22"/>
  </r>
  <r>
    <x v="3"/>
    <s v="TELHA GALVALUME TP 40 0,43MM 3,00M"/>
    <x v="126"/>
    <n v="15"/>
  </r>
  <r>
    <x v="5"/>
    <s v="TELHA GALVALUME OND 17 0,43MM 5,00M"/>
    <x v="126"/>
    <n v="1"/>
  </r>
  <r>
    <x v="15"/>
    <s v="TELHA GALVALUME OND 17 0,43MM"/>
    <x v="127"/>
    <n v="195"/>
  </r>
  <r>
    <x v="0"/>
    <s v="TELHA GALVALUME TP 40 0,43MM"/>
    <x v="127"/>
    <n v="160.19999999999999"/>
  </r>
  <r>
    <x v="7"/>
    <s v="TELHA GALVALUME OND 17 0,43MM 4,00M"/>
    <x v="127"/>
    <n v="40"/>
  </r>
  <r>
    <x v="4"/>
    <s v="TELHA GALVALUME TP 40 0,43MM 5,00M"/>
    <x v="127"/>
    <n v="34"/>
  </r>
  <r>
    <x v="2"/>
    <s v="TELHA GALVALUME TP 40 0,43MM 6,00M"/>
    <x v="127"/>
    <n v="30"/>
  </r>
  <r>
    <x v="10"/>
    <s v="TELHA GALVALUME OND 17 0,43MM 6,00M"/>
    <x v="127"/>
    <n v="30"/>
  </r>
  <r>
    <x v="17"/>
    <s v="TELHA CUMEEIRA GL TRAP 40 ABAS 300MM"/>
    <x v="127"/>
    <n v="14"/>
  </r>
  <r>
    <x v="6"/>
    <s v="TELHA GALVALUME TP 40 0,43MM 7,00M"/>
    <x v="127"/>
    <n v="10"/>
  </r>
  <r>
    <x v="0"/>
    <s v="TELHA GALVALUME TP 40 0,43MM"/>
    <x v="128"/>
    <n v="1035.5999999999999"/>
  </r>
  <r>
    <x v="2"/>
    <s v="TELHA GALVALUME TP 40 0,43MM 6,00M"/>
    <x v="128"/>
    <n v="68"/>
  </r>
  <r>
    <x v="4"/>
    <s v="TELHA GALVALUME TP 40 0,43MM 5,00M"/>
    <x v="128"/>
    <n v="50"/>
  </r>
  <r>
    <x v="1"/>
    <s v="TELHA GALVALUME TP 40 0,43MM 4,00M"/>
    <x v="128"/>
    <n v="48"/>
  </r>
  <r>
    <x v="17"/>
    <s v="TELHA CUMEEIRA GL TRAP 40 ABAS 300MM"/>
    <x v="128"/>
    <n v="25"/>
  </r>
  <r>
    <x v="3"/>
    <s v="TELHA GALVALUME TP 40 0,43MM 3,00M"/>
    <x v="128"/>
    <n v="13"/>
  </r>
  <r>
    <x v="6"/>
    <s v="TELHA GALVALUME TP 40 0,43MM 7,00M"/>
    <x v="128"/>
    <n v="12"/>
  </r>
  <r>
    <x v="7"/>
    <s v="TELHA GALVALUME OND 17 0,43MM 4,00M"/>
    <x v="128"/>
    <n v="9"/>
  </r>
  <r>
    <x v="9"/>
    <s v="TELHA GALVALUME OND 17 0,43MM 3,00M"/>
    <x v="128"/>
    <n v="6"/>
  </r>
  <r>
    <x v="0"/>
    <s v="TELHA GALVALUME TP 40 0,43MM"/>
    <x v="129"/>
    <n v="352"/>
  </r>
  <r>
    <x v="15"/>
    <s v="TELHA GALVALUME OND 17 0,43MM"/>
    <x v="129"/>
    <n v="74.8"/>
  </r>
  <r>
    <x v="8"/>
    <s v="TELHA GALVALUME OND 17 0,43MM 7,00M"/>
    <x v="129"/>
    <n v="64"/>
  </r>
  <r>
    <x v="4"/>
    <s v="TELHA GALVALUME TP 40 0,43MM 5,00M"/>
    <x v="129"/>
    <n v="62"/>
  </r>
  <r>
    <x v="2"/>
    <s v="TELHA GALVALUME TP 40 0,43MM 6,00M"/>
    <x v="129"/>
    <n v="31"/>
  </r>
  <r>
    <x v="1"/>
    <s v="TELHA GALVALUME TP 40 0,43MM 4,00M"/>
    <x v="129"/>
    <n v="30"/>
  </r>
  <r>
    <x v="6"/>
    <s v="TELHA GALVALUME TP 40 0,43MM 7,00M"/>
    <x v="129"/>
    <n v="23"/>
  </r>
  <r>
    <x v="10"/>
    <s v="TELHA GALVALUME OND 17 0,43MM 6,00M"/>
    <x v="129"/>
    <n v="20"/>
  </r>
  <r>
    <x v="7"/>
    <s v="TELHA GALVALUME OND 17 0,43MM 4,00M"/>
    <x v="129"/>
    <n v="17"/>
  </r>
  <r>
    <x v="3"/>
    <s v="TELHA GALVALUME TP 40 0,43MM 3,00M"/>
    <x v="129"/>
    <n v="2"/>
  </r>
  <r>
    <x v="2"/>
    <s v="TELHA GALVALUME TP 40 0,43MM 6,00M"/>
    <x v="130"/>
    <n v="189"/>
  </r>
  <r>
    <x v="10"/>
    <s v="TELHA GALVALUME OND 17 0,43MM 6,00M"/>
    <x v="130"/>
    <n v="37"/>
  </r>
  <r>
    <x v="15"/>
    <s v="TELHA GALVALUME OND 17 0,43MM"/>
    <x v="130"/>
    <n v="24.8"/>
  </r>
  <r>
    <x v="7"/>
    <s v="TELHA GALVALUME OND 17 0,43MM 4,00M"/>
    <x v="130"/>
    <n v="24"/>
  </r>
  <r>
    <x v="4"/>
    <s v="TELHA GALVALUME TP 40 0,43MM 5,00M"/>
    <x v="130"/>
    <n v="22"/>
  </r>
  <r>
    <x v="6"/>
    <s v="TELHA GALVALUME TP 40 0,43MM 7,00M"/>
    <x v="130"/>
    <n v="14"/>
  </r>
  <r>
    <x v="5"/>
    <s v="TELHA GALVALUME OND 17 0,43MM 5,00M"/>
    <x v="130"/>
    <n v="13"/>
  </r>
  <r>
    <x v="18"/>
    <s v="TELHA GALVALUME TP 40 0,43MM 8,00M"/>
    <x v="130"/>
    <n v="10"/>
  </r>
  <r>
    <x v="3"/>
    <s v="TELHA GALVALUME TP 40 0,43MM 3,00M"/>
    <x v="130"/>
    <n v="9"/>
  </r>
  <r>
    <x v="1"/>
    <s v="TELHA GALVALUME TP 40 0,43MM 4,00M"/>
    <x v="130"/>
    <n v="8"/>
  </r>
  <r>
    <x v="2"/>
    <s v="TELHA GALVALUME TP 40 0,43MM 6,00M"/>
    <x v="131"/>
    <n v="347"/>
  </r>
  <r>
    <x v="15"/>
    <s v="TELHA GALVALUME OND 17 0,43MM"/>
    <x v="131"/>
    <n v="64.599999999999994"/>
  </r>
  <r>
    <x v="4"/>
    <s v="TELHA GALVALUME TP 40 0,43MM 5,00M"/>
    <x v="131"/>
    <n v="42"/>
  </r>
  <r>
    <x v="6"/>
    <s v="TELHA GALVALUME TP 40 0,43MM 7,00M"/>
    <x v="131"/>
    <n v="35"/>
  </r>
  <r>
    <x v="1"/>
    <s v="TELHA GALVALUME TP 40 0,43MM 4,00M"/>
    <x v="131"/>
    <n v="28"/>
  </r>
  <r>
    <x v="10"/>
    <s v="TELHA GALVALUME OND 17 0,43MM 6,00M"/>
    <x v="131"/>
    <n v="21"/>
  </r>
  <r>
    <x v="16"/>
    <s v="TELHA GALVALUME OND 17 0,43MM 8,00M"/>
    <x v="131"/>
    <n v="18"/>
  </r>
  <r>
    <x v="18"/>
    <s v="TELHA GALVALUME TP 40 0,43MM 8,00M"/>
    <x v="131"/>
    <n v="17"/>
  </r>
  <r>
    <x v="3"/>
    <s v="TELHA GALVALUME TP 40 0,43MM 3,00M"/>
    <x v="131"/>
    <n v="3"/>
  </r>
  <r>
    <x v="0"/>
    <s v="TELHA GALVALUME TP 40 0,43MM"/>
    <x v="132"/>
    <n v="246.7"/>
  </r>
  <r>
    <x v="1"/>
    <s v="TELHA GALVALUME TP 40 0,43MM 4,00M"/>
    <x v="132"/>
    <n v="52"/>
  </r>
  <r>
    <x v="4"/>
    <s v="TELHA GALVALUME TP 40 0,43MM 5,00M"/>
    <x v="132"/>
    <n v="38"/>
  </r>
  <r>
    <x v="10"/>
    <s v="TELHA GALVALUME OND 17 0,43MM 6,00M"/>
    <x v="132"/>
    <n v="35"/>
  </r>
  <r>
    <x v="3"/>
    <s v="TELHA GALVALUME TP 40 0,43MM 3,00M"/>
    <x v="132"/>
    <n v="20"/>
  </r>
  <r>
    <x v="2"/>
    <s v="TELHA GALVALUME TP 40 0,43MM 6,00M"/>
    <x v="132"/>
    <n v="16"/>
  </r>
  <r>
    <x v="18"/>
    <s v="TELHA GALVALUME TP 40 0,43MM 8,00M"/>
    <x v="132"/>
    <n v="15"/>
  </r>
  <r>
    <x v="5"/>
    <s v="TELHA GALVALUME OND 17 0,43MM 5,00M"/>
    <x v="132"/>
    <n v="9"/>
  </r>
  <r>
    <x v="6"/>
    <s v="TELHA GALVALUME TP 40 0,43MM 7,00M"/>
    <x v="132"/>
    <n v="8"/>
  </r>
  <r>
    <x v="7"/>
    <s v="TELHA GALVALUME OND 17 0,43MM 4,00M"/>
    <x v="132"/>
    <n v="7"/>
  </r>
  <r>
    <x v="0"/>
    <s v="TELHA GALVALUME TP 40 0,43MM"/>
    <x v="133"/>
    <n v="804.9"/>
  </r>
  <r>
    <x v="15"/>
    <s v="TELHA GALVALUME OND 17 0,43MM"/>
    <x v="133"/>
    <n v="201.6"/>
  </r>
  <r>
    <x v="2"/>
    <s v="TELHA GALVALUME TP 40 0,43MM 6,00M"/>
    <x v="133"/>
    <n v="146"/>
  </r>
  <r>
    <x v="4"/>
    <s v="TELHA GALVALUME TP 40 0,43MM 5,00M"/>
    <x v="133"/>
    <n v="138"/>
  </r>
  <r>
    <x v="6"/>
    <s v="TELHA GALVALUME TP 40 0,43MM 7,00M"/>
    <x v="133"/>
    <n v="84"/>
  </r>
  <r>
    <x v="1"/>
    <s v="TELHA GALVALUME TP 40 0,43MM 4,00M"/>
    <x v="133"/>
    <n v="62"/>
  </r>
  <r>
    <x v="17"/>
    <s v="TELHA CUMEEIRA GL TRAP 40 ABAS 300MM"/>
    <x v="133"/>
    <n v="56"/>
  </r>
  <r>
    <x v="3"/>
    <s v="TELHA GALVALUME TP 40 0,43MM 3,00M"/>
    <x v="133"/>
    <n v="12"/>
  </r>
  <r>
    <x v="10"/>
    <s v="TELHA GALVALUME OND 17 0,43MM 6,00M"/>
    <x v="133"/>
    <n v="12"/>
  </r>
  <r>
    <x v="8"/>
    <s v="TELHA GALVALUME OND 17 0,43MM 7,00M"/>
    <x v="133"/>
    <n v="10"/>
  </r>
  <r>
    <x v="16"/>
    <s v="TELHA GALVALUME OND 17 0,43MM 8,00M"/>
    <x v="133"/>
    <n v="10"/>
  </r>
  <r>
    <x v="0"/>
    <s v="TELHA GALVALUME TP 40 0,43MM"/>
    <x v="134"/>
    <n v="114"/>
  </r>
  <r>
    <x v="2"/>
    <s v="TELHA GALVALUME TP 40 0,43MM 6,00M"/>
    <x v="134"/>
    <n v="104"/>
  </r>
  <r>
    <x v="6"/>
    <s v="TELHA GALVALUME TP 40 0,43MM 7,00M"/>
    <x v="134"/>
    <n v="98"/>
  </r>
  <r>
    <x v="10"/>
    <s v="TELHA GALVALUME OND 17 0,43MM 6,00M"/>
    <x v="134"/>
    <n v="76"/>
  </r>
  <r>
    <x v="1"/>
    <s v="TELHA GALVALUME TP 40 0,43MM 4,00M"/>
    <x v="134"/>
    <n v="44"/>
  </r>
  <r>
    <x v="3"/>
    <s v="TELHA GALVALUME TP 40 0,43MM 3,00M"/>
    <x v="134"/>
    <n v="41"/>
  </r>
  <r>
    <x v="7"/>
    <s v="TELHA GALVALUME OND 17 0,43MM 4,00M"/>
    <x v="134"/>
    <n v="34"/>
  </r>
  <r>
    <x v="17"/>
    <s v="TELHA CUMEEIRA GL TRAP 40 ABAS 300MM"/>
    <x v="134"/>
    <n v="32"/>
  </r>
  <r>
    <x v="18"/>
    <s v="TELHA GALVALUME TP 40 0,43MM 8,00M"/>
    <x v="134"/>
    <n v="21"/>
  </r>
  <r>
    <x v="4"/>
    <s v="TELHA GALVALUME TP 40 0,43MM 5,00M"/>
    <x v="134"/>
    <n v="15"/>
  </r>
  <r>
    <x v="16"/>
    <s v="TELHA GALVALUME OND 17 0,43MM 8,00M"/>
    <x v="134"/>
    <n v="15"/>
  </r>
  <r>
    <x v="5"/>
    <s v="TELHA GALVALUME OND 17 0,43MM 5,00M"/>
    <x v="134"/>
    <n v="15"/>
  </r>
  <r>
    <x v="8"/>
    <s v="TELHA GALVALUME OND 17 0,43MM 7,00M"/>
    <x v="134"/>
    <n v="14"/>
  </r>
  <r>
    <x v="9"/>
    <s v="TELHA GALVALUME OND 17 0,43MM 3,00M"/>
    <x v="134"/>
    <n v="3"/>
  </r>
  <r>
    <x v="0"/>
    <s v="TELHA GALVALUME TP 40 0,43MM"/>
    <x v="135"/>
    <n v="634.79999999999995"/>
  </r>
  <r>
    <x v="15"/>
    <s v="TELHA GALVALUME OND 17 0,43MM"/>
    <x v="135"/>
    <n v="319.60000000000002"/>
  </r>
  <r>
    <x v="2"/>
    <s v="TELHA GALVALUME TP 40 0,43MM 6,00M"/>
    <x v="135"/>
    <n v="173"/>
  </r>
  <r>
    <x v="4"/>
    <s v="TELHA GALVALUME TP 40 0,43MM 5,00M"/>
    <x v="135"/>
    <n v="75"/>
  </r>
  <r>
    <x v="17"/>
    <s v="TELHA CUMEEIRA GL TRAP 40 ABAS 300MM"/>
    <x v="135"/>
    <n v="65"/>
  </r>
  <r>
    <x v="10"/>
    <s v="TELHA GALVALUME OND 17 0,43MM 6,00M"/>
    <x v="135"/>
    <n v="46"/>
  </r>
  <r>
    <x v="1"/>
    <s v="TELHA GALVALUME TP 40 0,43MM 4,00M"/>
    <x v="135"/>
    <n v="18"/>
  </r>
  <r>
    <x v="5"/>
    <s v="TELHA GALVALUME OND 17 0,43MM 5,00M"/>
    <x v="135"/>
    <n v="11"/>
  </r>
  <r>
    <x v="7"/>
    <s v="TELHA GALVALUME OND 17 0,43MM 4,00M"/>
    <x v="135"/>
    <n v="10"/>
  </r>
  <r>
    <x v="6"/>
    <s v="TELHA GALVALUME TP 40 0,43MM 7,00M"/>
    <x v="135"/>
    <n v="3"/>
  </r>
  <r>
    <x v="0"/>
    <s v="TELHA GALVALUME TP 40 0,43MM"/>
    <x v="136"/>
    <n v="335.5"/>
  </r>
  <r>
    <x v="10"/>
    <s v="TELHA GALVALUME OND 17 0,43MM 6,00M"/>
    <x v="136"/>
    <n v="121"/>
  </r>
  <r>
    <x v="4"/>
    <s v="TELHA GALVALUME TP 40 0,43MM 5,00M"/>
    <x v="136"/>
    <n v="16"/>
  </r>
  <r>
    <x v="2"/>
    <s v="TELHA GALVALUME TP 40 0,43MM 6,00M"/>
    <x v="136"/>
    <n v="15"/>
  </r>
  <r>
    <x v="1"/>
    <s v="TELHA GALVALUME TP 40 0,43MM 4,00M"/>
    <x v="136"/>
    <n v="14"/>
  </r>
  <r>
    <x v="17"/>
    <s v="TELHA CUMEEIRA GL TRAP 40 ABAS 300MM"/>
    <x v="136"/>
    <n v="14"/>
  </r>
  <r>
    <x v="3"/>
    <s v="TELHA GALVALUME TP 40 0,43MM 3,00M"/>
    <x v="136"/>
    <n v="8"/>
  </r>
  <r>
    <x v="6"/>
    <s v="TELHA GALVALUME TP 40 0,43MM 7,00M"/>
    <x v="136"/>
    <n v="3"/>
  </r>
  <r>
    <x v="5"/>
    <s v="TELHA GALVALUME OND 17 0,43MM 5,00M"/>
    <x v="136"/>
    <n v="3"/>
  </r>
  <r>
    <x v="0"/>
    <s v="TELHA GALVALUME TP 40 0,43MM"/>
    <x v="137"/>
    <n v="1162.8499999999999"/>
  </r>
  <r>
    <x v="17"/>
    <s v="TELHA CUMEEIRA GL TRAP 40 ABAS 300MM"/>
    <x v="137"/>
    <n v="103"/>
  </r>
  <r>
    <x v="6"/>
    <s v="TELHA GALVALUME TP 40 0,43MM 7,00M"/>
    <x v="137"/>
    <n v="94"/>
  </r>
  <r>
    <x v="2"/>
    <s v="TELHA GALVALUME TP 40 0,43MM 6,00M"/>
    <x v="137"/>
    <n v="91"/>
  </r>
  <r>
    <x v="18"/>
    <s v="TELHA GALVALUME TP 40 0,43MM 8,00M"/>
    <x v="137"/>
    <n v="85"/>
  </r>
  <r>
    <x v="4"/>
    <s v="TELHA GALVALUME TP 40 0,43MM 5,00M"/>
    <x v="137"/>
    <n v="67"/>
  </r>
  <r>
    <x v="1"/>
    <s v="TELHA GALVALUME TP 40 0,43MM 4,00M"/>
    <x v="137"/>
    <n v="55"/>
  </r>
  <r>
    <x v="7"/>
    <s v="TELHA GALVALUME OND 17 0,43MM 4,00M"/>
    <x v="137"/>
    <n v="37"/>
  </r>
  <r>
    <x v="9"/>
    <s v="TELHA GALVALUME OND 17 0,43MM 3,00M"/>
    <x v="137"/>
    <n v="21"/>
  </r>
  <r>
    <x v="10"/>
    <s v="TELHA GALVALUME OND 17 0,43MM 6,00M"/>
    <x v="137"/>
    <n v="20"/>
  </r>
  <r>
    <x v="3"/>
    <s v="TELHA GALVALUME TP 40 0,43MM 3,00M"/>
    <x v="137"/>
    <n v="15"/>
  </r>
  <r>
    <x v="8"/>
    <s v="TELHA GALVALUME OND 17 0,43MM 7,00M"/>
    <x v="137"/>
    <n v="11"/>
  </r>
  <r>
    <x v="0"/>
    <s v="TELHA GALVALUME TP 40 0,43MM"/>
    <x v="138"/>
    <n v="259.45"/>
  </r>
  <r>
    <x v="2"/>
    <s v="TELHA GALVALUME TP 40 0,43MM 6,00M"/>
    <x v="138"/>
    <n v="142"/>
  </r>
  <r>
    <x v="4"/>
    <s v="TELHA GALVALUME TP 40 0,43MM 5,00M"/>
    <x v="138"/>
    <n v="91"/>
  </r>
  <r>
    <x v="9"/>
    <s v="TELHA GALVALUME OND 17 0,43MM 3,00M"/>
    <x v="138"/>
    <n v="80"/>
  </r>
  <r>
    <x v="1"/>
    <s v="TELHA GALVALUME TP 40 0,43MM 4,00M"/>
    <x v="138"/>
    <n v="62"/>
  </r>
  <r>
    <x v="3"/>
    <s v="TELHA GALVALUME TP 40 0,43MM 3,00M"/>
    <x v="138"/>
    <n v="16"/>
  </r>
  <r>
    <x v="10"/>
    <s v="TELHA GALVALUME OND 17 0,43MM 6,00M"/>
    <x v="138"/>
    <n v="15"/>
  </r>
  <r>
    <x v="6"/>
    <s v="TELHA GALVALUME TP 40 0,43MM 7,00M"/>
    <x v="138"/>
    <n v="14"/>
  </r>
  <r>
    <x v="0"/>
    <s v="TELHA GALVALUME TP 40 0,43MM"/>
    <x v="139"/>
    <n v="420.8"/>
  </r>
  <r>
    <x v="4"/>
    <s v="TELHA GALVALUME TP 40 0,43MM 5,00M"/>
    <x v="139"/>
    <n v="150"/>
  </r>
  <r>
    <x v="6"/>
    <s v="TELHA GALVALUME TP 40 0,43MM 7,00M"/>
    <x v="139"/>
    <n v="90"/>
  </r>
  <r>
    <x v="2"/>
    <s v="TELHA GALVALUME TP 40 0,43MM 6,00M"/>
    <x v="139"/>
    <n v="77"/>
  </r>
  <r>
    <x v="18"/>
    <s v="TELHA GALVALUME TP 40 0,43MM 8,00M"/>
    <x v="139"/>
    <n v="47"/>
  </r>
  <r>
    <x v="1"/>
    <s v="TELHA GALVALUME TP 40 0,43MM 4,00M"/>
    <x v="139"/>
    <n v="42"/>
  </r>
  <r>
    <x v="10"/>
    <s v="TELHA GALVALUME OND 17 0,43MM 6,00M"/>
    <x v="139"/>
    <n v="32"/>
  </r>
  <r>
    <x v="3"/>
    <s v="TELHA GALVALUME TP 40 0,43MM 3,00M"/>
    <x v="139"/>
    <n v="17"/>
  </r>
  <r>
    <x v="17"/>
    <s v="TELHA CUMEEIRA GL TRAP 40 ABAS 300MM"/>
    <x v="139"/>
    <n v="14"/>
  </r>
  <r>
    <x v="5"/>
    <s v="TELHA GALVALUME OND 17 0,43MM 5,00M"/>
    <x v="139"/>
    <n v="8"/>
  </r>
  <r>
    <x v="5"/>
    <s v="TELHA GALVALUME OND 17 0,43MM 5,00M"/>
    <x v="140"/>
    <n v="102"/>
  </r>
  <r>
    <x v="4"/>
    <s v="TELHA GALVALUME TP 40 0,43MM 5,00M"/>
    <x v="140"/>
    <n v="66"/>
  </r>
  <r>
    <x v="2"/>
    <s v="TELHA GALVALUME TP 40 0,43MM 6,00M"/>
    <x v="140"/>
    <n v="63"/>
  </r>
  <r>
    <x v="3"/>
    <s v="TELHA GALVALUME TP 40 0,43MM 3,00M"/>
    <x v="140"/>
    <n v="46"/>
  </r>
  <r>
    <x v="1"/>
    <s v="TELHA GALVALUME TP 40 0,43MM 4,00M"/>
    <x v="140"/>
    <n v="31"/>
  </r>
  <r>
    <x v="9"/>
    <s v="TELHA GALVALUME OND 17 0,43MM 3,00M"/>
    <x v="140"/>
    <n v="30"/>
  </r>
  <r>
    <x v="10"/>
    <s v="TELHA GALVALUME OND 17 0,43MM 6,00M"/>
    <x v="140"/>
    <n v="26"/>
  </r>
  <r>
    <x v="7"/>
    <s v="TELHA GALVALUME OND 17 0,43MM 4,00M"/>
    <x v="140"/>
    <n v="20"/>
  </r>
  <r>
    <x v="6"/>
    <s v="TELHA GALVALUME TP 40 0,43MM 7,00M"/>
    <x v="140"/>
    <n v="15"/>
  </r>
  <r>
    <x v="8"/>
    <s v="TELHA GALVALUME OND 17 0,43MM 7,00M"/>
    <x v="140"/>
    <n v="11"/>
  </r>
  <r>
    <x v="1"/>
    <s v="TELHA GALVALUME TP 40 0,43MM 4,00M"/>
    <x v="141"/>
    <n v="108"/>
  </r>
  <r>
    <x v="2"/>
    <s v="TELHA GALVALUME TP 40 0,43MM 6,00M"/>
    <x v="141"/>
    <n v="73"/>
  </r>
  <r>
    <x v="4"/>
    <s v="TELHA GALVALUME TP 40 0,43MM 5,00M"/>
    <x v="141"/>
    <n v="57"/>
  </r>
  <r>
    <x v="10"/>
    <s v="TELHA GALVALUME OND 17 0,43MM 6,00M"/>
    <x v="141"/>
    <n v="41"/>
  </r>
  <r>
    <x v="8"/>
    <s v="TELHA GALVALUME OND 17 0,43MM 7,00M"/>
    <x v="141"/>
    <n v="26"/>
  </r>
  <r>
    <x v="6"/>
    <s v="TELHA GALVALUME TP 40 0,43MM 7,00M"/>
    <x v="141"/>
    <n v="14"/>
  </r>
  <r>
    <x v="7"/>
    <s v="TELHA GALVALUME OND 17 0,43MM 4,00M"/>
    <x v="141"/>
    <n v="6"/>
  </r>
  <r>
    <x v="3"/>
    <s v="TELHA GALVALUME TP 40 0,43MM 3,00M"/>
    <x v="141"/>
    <n v="2"/>
  </r>
  <r>
    <x v="0"/>
    <s v="TELHA GALVALUME TP 40 0,43MM"/>
    <x v="142"/>
    <n v="1006.5"/>
  </r>
  <r>
    <x v="15"/>
    <s v="TELHA GALVALUME OND 17 0,43MM"/>
    <x v="142"/>
    <n v="120.65"/>
  </r>
  <r>
    <x v="2"/>
    <s v="TELHA GALVALUME TP 40 0,43MM 6,00M"/>
    <x v="142"/>
    <n v="98"/>
  </r>
  <r>
    <x v="3"/>
    <s v="TELHA GALVALUME TP 40 0,43MM 3,00M"/>
    <x v="142"/>
    <n v="45"/>
  </r>
  <r>
    <x v="6"/>
    <s v="TELHA GALVALUME TP 40 0,43MM 7,00M"/>
    <x v="142"/>
    <n v="42"/>
  </r>
  <r>
    <x v="16"/>
    <s v="TELHA GALVALUME OND 17 0,43MM 8,00M"/>
    <x v="142"/>
    <n v="35"/>
  </r>
  <r>
    <x v="10"/>
    <s v="TELHA GALVALUME OND 17 0,43MM 6,00M"/>
    <x v="142"/>
    <n v="32"/>
  </r>
  <r>
    <x v="1"/>
    <s v="TELHA GALVALUME TP 40 0,43MM 4,00M"/>
    <x v="142"/>
    <n v="31"/>
  </r>
  <r>
    <x v="8"/>
    <s v="TELHA GALVALUME OND 17 0,43MM 7,00M"/>
    <x v="142"/>
    <n v="17"/>
  </r>
  <r>
    <x v="18"/>
    <s v="TELHA GALVALUME TP 40 0,43MM 8,00M"/>
    <x v="142"/>
    <n v="12"/>
  </r>
  <r>
    <x v="4"/>
    <s v="TELHA GALVALUME TP 40 0,43MM 5,00M"/>
    <x v="142"/>
    <n v="10"/>
  </r>
  <r>
    <x v="5"/>
    <s v="TELHA GALVALUME OND 17 0,43MM 5,00M"/>
    <x v="142"/>
    <n v="2"/>
  </r>
  <r>
    <x v="0"/>
    <s v="TELHA GALVALUME TP 40 0,43MM"/>
    <x v="143"/>
    <n v="127"/>
  </r>
  <r>
    <x v="1"/>
    <s v="TELHA GALVALUME TP 40 0,43MM 4,00M"/>
    <x v="143"/>
    <n v="78"/>
  </r>
  <r>
    <x v="10"/>
    <s v="TELHA GALVALUME OND 17 0,43MM 6,00M"/>
    <x v="143"/>
    <n v="70"/>
  </r>
  <r>
    <x v="4"/>
    <s v="TELHA GALVALUME TP 40 0,43MM 5,00M"/>
    <x v="143"/>
    <n v="45"/>
  </r>
  <r>
    <x v="2"/>
    <s v="TELHA GALVALUME TP 40 0,43MM 6,00M"/>
    <x v="143"/>
    <n v="41"/>
  </r>
  <r>
    <x v="18"/>
    <s v="TELHA GALVALUME TP 40 0,43MM 8,00M"/>
    <x v="143"/>
    <n v="26"/>
  </r>
  <r>
    <x v="5"/>
    <s v="TELHA GALVALUME OND 17 0,43MM 5,00M"/>
    <x v="143"/>
    <n v="19"/>
  </r>
  <r>
    <x v="6"/>
    <s v="TELHA GALVALUME TP 40 0,43MM 7,00M"/>
    <x v="143"/>
    <n v="19"/>
  </r>
  <r>
    <x v="9"/>
    <s v="TELHA GALVALUME OND 17 0,43MM 3,00M"/>
    <x v="143"/>
    <n v="12"/>
  </r>
  <r>
    <x v="3"/>
    <s v="TELHA GALVALUME TP 40 0,43MM 3,00M"/>
    <x v="143"/>
    <n v="12"/>
  </r>
  <r>
    <x v="7"/>
    <s v="TELHA GALVALUME OND 17 0,43MM 4,00M"/>
    <x v="143"/>
    <n v="11"/>
  </r>
  <r>
    <x v="17"/>
    <s v="TELHA CUMEEIRA GL TRAP 40 ABAS 300MM"/>
    <x v="143"/>
    <n v="8"/>
  </r>
  <r>
    <x v="0"/>
    <s v="TELHA GALVALUME TP 40 0,43MM"/>
    <x v="144"/>
    <n v="627.78"/>
  </r>
  <r>
    <x v="2"/>
    <s v="TELHA GALVALUME TP 40 0,43MM 6,00M"/>
    <x v="144"/>
    <n v="81"/>
  </r>
  <r>
    <x v="15"/>
    <s v="TELHA GALVALUME OND 17 0,43MM"/>
    <x v="144"/>
    <n v="61.2"/>
  </r>
  <r>
    <x v="1"/>
    <s v="TELHA GALVALUME TP 40 0,43MM 4,00M"/>
    <x v="144"/>
    <n v="55"/>
  </r>
  <r>
    <x v="4"/>
    <s v="TELHA GALVALUME TP 40 0,43MM 5,00M"/>
    <x v="144"/>
    <n v="46"/>
  </r>
  <r>
    <x v="8"/>
    <s v="TELHA GALVALUME OND 17 0,43MM 7,00M"/>
    <x v="144"/>
    <n v="38"/>
  </r>
  <r>
    <x v="17"/>
    <s v="TELHA CUMEEIRA GL TRAP 40 ABAS 300MM"/>
    <x v="144"/>
    <n v="32"/>
  </r>
  <r>
    <x v="10"/>
    <s v="TELHA GALVALUME OND 17 0,43MM 6,00M"/>
    <x v="144"/>
    <n v="19"/>
  </r>
  <r>
    <x v="6"/>
    <s v="TELHA GALVALUME TP 40 0,43MM 7,00M"/>
    <x v="144"/>
    <n v="18"/>
  </r>
  <r>
    <x v="18"/>
    <s v="TELHA GALVALUME TP 40 0,43MM 8,00M"/>
    <x v="144"/>
    <n v="16"/>
  </r>
  <r>
    <x v="3"/>
    <s v="TELHA GALVALUME TP 40 0,43MM 3,00M"/>
    <x v="144"/>
    <n v="12"/>
  </r>
  <r>
    <x v="5"/>
    <s v="TELHA GALVALUME OND 17 0,43MM 5,00M"/>
    <x v="144"/>
    <n v="6"/>
  </r>
  <r>
    <x v="0"/>
    <s v="TELHA GALVALUME TP 40 0,43MM"/>
    <x v="145"/>
    <n v="1140.72"/>
  </r>
  <r>
    <x v="2"/>
    <s v="TELHA GALVALUME TP 40 0,43MM 6,00M"/>
    <x v="145"/>
    <n v="139"/>
  </r>
  <r>
    <x v="1"/>
    <s v="TELHA GALVALUME TP 40 0,43MM 4,00M"/>
    <x v="145"/>
    <n v="120"/>
  </r>
  <r>
    <x v="4"/>
    <s v="TELHA GALVALUME TP 40 0,43MM 5,00M"/>
    <x v="145"/>
    <n v="75"/>
  </r>
  <r>
    <x v="17"/>
    <s v="TELHA CUMEEIRA GL TRAP 40 ABAS 300MM"/>
    <x v="145"/>
    <n v="60"/>
  </r>
  <r>
    <x v="18"/>
    <s v="TELHA GALVALUME TP 40 0,43MM 8,00M"/>
    <x v="145"/>
    <n v="52"/>
  </r>
  <r>
    <x v="3"/>
    <s v="TELHA GALVALUME TP 40 0,43MM 3,00M"/>
    <x v="145"/>
    <n v="24"/>
  </r>
  <r>
    <x v="6"/>
    <s v="TELHA GALVALUME TP 40 0,43MM 7,00M"/>
    <x v="145"/>
    <n v="23"/>
  </r>
  <r>
    <x v="10"/>
    <s v="TELHA GALVALUME OND 17 0,43MM 6,00M"/>
    <x v="145"/>
    <n v="11"/>
  </r>
  <r>
    <x v="6"/>
    <s v="TELHA GALVALUME TP 40 0,43MM 7,00M"/>
    <x v="146"/>
    <n v="108"/>
  </r>
  <r>
    <x v="2"/>
    <s v="TELHA GALVALUME TP 40 0,43MM 6,00M"/>
    <x v="146"/>
    <n v="103"/>
  </r>
  <r>
    <x v="0"/>
    <s v="TELHA GALVALUME TP 40 0,43MM"/>
    <x v="146"/>
    <n v="82.2"/>
  </r>
  <r>
    <x v="4"/>
    <s v="TELHA GALVALUME TP 40 0,43MM 5,00M"/>
    <x v="146"/>
    <n v="54"/>
  </r>
  <r>
    <x v="3"/>
    <s v="TELHA GALVALUME TP 40 0,43MM 3,00M"/>
    <x v="146"/>
    <n v="33"/>
  </r>
  <r>
    <x v="17"/>
    <s v="TELHA CUMEEIRA GL TRAP 40 ABAS 300MM"/>
    <x v="146"/>
    <n v="28"/>
  </r>
  <r>
    <x v="9"/>
    <s v="TELHA GALVALUME OND 17 0,43MM 3,00M"/>
    <x v="146"/>
    <n v="27"/>
  </r>
  <r>
    <x v="1"/>
    <s v="TELHA GALVALUME TP 40 0,43MM 4,00M"/>
    <x v="146"/>
    <n v="27"/>
  </r>
  <r>
    <x v="18"/>
    <s v="TELHA GALVALUME TP 40 0,43MM 8,00M"/>
    <x v="146"/>
    <n v="16"/>
  </r>
  <r>
    <x v="20"/>
    <s v="TELHA CUMEEIRA GL OND 17 ABAS 300MM"/>
    <x v="146"/>
    <n v="8"/>
  </r>
  <r>
    <x v="7"/>
    <s v="TELHA GALVALUME OND 17 0,43MM 4,00M"/>
    <x v="146"/>
    <n v="2"/>
  </r>
  <r>
    <x v="0"/>
    <s v="TELHA GALVALUME TP 40 0,43MM"/>
    <x v="147"/>
    <n v="275.55"/>
  </r>
  <r>
    <x v="2"/>
    <s v="TELHA GALVALUME TP 40 0,43MM 6,00M"/>
    <x v="147"/>
    <n v="116"/>
  </r>
  <r>
    <x v="4"/>
    <s v="TELHA GALVALUME TP 40 0,43MM 5,00M"/>
    <x v="147"/>
    <n v="53"/>
  </r>
  <r>
    <x v="7"/>
    <s v="TELHA GALVALUME OND 17 0,43MM 4,00M"/>
    <x v="147"/>
    <n v="29"/>
  </r>
  <r>
    <x v="5"/>
    <s v="TELHA GALVALUME OND 17 0,43MM 5,00M"/>
    <x v="147"/>
    <n v="24"/>
  </r>
  <r>
    <x v="18"/>
    <s v="TELHA GALVALUME TP 40 0,43MM 8,00M"/>
    <x v="147"/>
    <n v="20"/>
  </r>
  <r>
    <x v="1"/>
    <s v="TELHA GALVALUME TP 40 0,43MM 4,00M"/>
    <x v="147"/>
    <n v="19"/>
  </r>
  <r>
    <x v="9"/>
    <s v="TELHA GALVALUME OND 17 0,43MM 3,00M"/>
    <x v="147"/>
    <n v="16"/>
  </r>
  <r>
    <x v="6"/>
    <s v="TELHA GALVALUME TP 40 0,43MM 7,00M"/>
    <x v="147"/>
    <n v="14"/>
  </r>
  <r>
    <x v="16"/>
    <s v="TELHA GALVALUME OND 17 0,43MM 8,00M"/>
    <x v="147"/>
    <n v="12"/>
  </r>
  <r>
    <x v="3"/>
    <s v="TELHA GALVALUME TP 40 0,43MM 3,00M"/>
    <x v="147"/>
    <n v="11"/>
  </r>
  <r>
    <x v="8"/>
    <s v="TELHA GALVALUME OND 17 0,43MM 7,00M"/>
    <x v="147"/>
    <n v="4"/>
  </r>
  <r>
    <x v="0"/>
    <s v="TELHA GALVALUME TP 40 0,43MM"/>
    <x v="148"/>
    <n v="416.98"/>
  </r>
  <r>
    <x v="1"/>
    <s v="TELHA GALVALUME TP 40 0,43MM 4,00M"/>
    <x v="148"/>
    <n v="116"/>
  </r>
  <r>
    <x v="3"/>
    <s v="TELHA GALVALUME TP 40 0,43MM 3,00M"/>
    <x v="148"/>
    <n v="88"/>
  </r>
  <r>
    <x v="2"/>
    <s v="TELHA GALVALUME TP 40 0,43MM 6,00M"/>
    <x v="148"/>
    <n v="88"/>
  </r>
  <r>
    <x v="6"/>
    <s v="TELHA GALVALUME TP 40 0,43MM 7,00M"/>
    <x v="148"/>
    <n v="66"/>
  </r>
  <r>
    <x v="4"/>
    <s v="TELHA GALVALUME TP 40 0,43MM 5,00M"/>
    <x v="148"/>
    <n v="31"/>
  </r>
  <r>
    <x v="17"/>
    <s v="TELHA CUMEEIRA GL TRAP 40 ABAS 300MM"/>
    <x v="148"/>
    <n v="15"/>
  </r>
  <r>
    <x v="18"/>
    <s v="TELHA GALVALUME TP 40 0,43MM 8,00M"/>
    <x v="148"/>
    <n v="13"/>
  </r>
  <r>
    <x v="8"/>
    <s v="TELHA GALVALUME OND 17 0,43MM 7,00M"/>
    <x v="148"/>
    <n v="2"/>
  </r>
  <r>
    <x v="15"/>
    <s v="TELHA GALVALUME OND 17 0,43MM"/>
    <x v="149"/>
    <n v="193"/>
  </r>
  <r>
    <x v="4"/>
    <s v="TELHA GALVALUME TP 40 0,43MM 5,00M"/>
    <x v="149"/>
    <n v="139"/>
  </r>
  <r>
    <x v="2"/>
    <s v="TELHA GALVALUME TP 40 0,43MM 6,00M"/>
    <x v="149"/>
    <n v="124"/>
  </r>
  <r>
    <x v="8"/>
    <s v="TELHA GALVALUME OND 17 0,43MM 7,00M"/>
    <x v="149"/>
    <n v="105"/>
  </r>
  <r>
    <x v="1"/>
    <s v="TELHA GALVALUME TP 40 0,43MM 4,00M"/>
    <x v="149"/>
    <n v="95"/>
  </r>
  <r>
    <x v="0"/>
    <s v="TELHA GALVALUME TP 40 0,43MM"/>
    <x v="149"/>
    <n v="76"/>
  </r>
  <r>
    <x v="7"/>
    <s v="TELHA GALVALUME OND 17 0,43MM 4,00M"/>
    <x v="149"/>
    <n v="41"/>
  </r>
  <r>
    <x v="10"/>
    <s v="TELHA GALVALUME OND 17 0,43MM 6,00M"/>
    <x v="149"/>
    <n v="34"/>
  </r>
  <r>
    <x v="18"/>
    <s v="TELHA GALVALUME TP 40 0,43MM 8,00M"/>
    <x v="149"/>
    <n v="30"/>
  </r>
  <r>
    <x v="9"/>
    <s v="TELHA GALVALUME OND 17 0,43MM 3,00M"/>
    <x v="149"/>
    <n v="29"/>
  </r>
  <r>
    <x v="6"/>
    <s v="TELHA GALVALUME TP 40 0,43MM 7,00M"/>
    <x v="149"/>
    <n v="29"/>
  </r>
  <r>
    <x v="5"/>
    <s v="TELHA GALVALUME OND 17 0,43MM 5,00M"/>
    <x v="149"/>
    <n v="25"/>
  </r>
  <r>
    <x v="16"/>
    <s v="TELHA GALVALUME OND 17 0,43MM 8,00M"/>
    <x v="149"/>
    <n v="20"/>
  </r>
  <r>
    <x v="3"/>
    <s v="TELHA GALVALUME TP 40 0,43MM 3,00M"/>
    <x v="149"/>
    <n v="8"/>
  </r>
  <r>
    <x v="0"/>
    <s v="TELHA GALVALUME TP 40 0,43MM"/>
    <x v="150"/>
    <n v="1078.45"/>
  </r>
  <r>
    <x v="15"/>
    <s v="TELHA GALVALUME OND 17 0,43MM"/>
    <x v="150"/>
    <n v="111.3"/>
  </r>
  <r>
    <x v="2"/>
    <s v="TELHA GALVALUME TP 40 0,43MM 6,00M"/>
    <x v="150"/>
    <n v="53"/>
  </r>
  <r>
    <x v="17"/>
    <s v="TELHA CUMEEIRA GL TRAP 40 ABAS 300MM"/>
    <x v="150"/>
    <n v="48"/>
  </r>
  <r>
    <x v="1"/>
    <s v="TELHA GALVALUME TP 40 0,43MM 4,00M"/>
    <x v="150"/>
    <n v="31"/>
  </r>
  <r>
    <x v="6"/>
    <s v="TELHA GALVALUME TP 40 0,43MM 7,00M"/>
    <x v="150"/>
    <n v="25"/>
  </r>
  <r>
    <x v="4"/>
    <s v="TELHA GALVALUME TP 40 0,43MM 5,00M"/>
    <x v="150"/>
    <n v="21"/>
  </r>
  <r>
    <x v="7"/>
    <s v="TELHA GALVALUME OND 17 0,43MM 4,00M"/>
    <x v="150"/>
    <n v="13"/>
  </r>
  <r>
    <x v="10"/>
    <s v="TELHA GALVALUME OND 17 0,43MM 6,00M"/>
    <x v="150"/>
    <n v="3"/>
  </r>
  <r>
    <x v="2"/>
    <s v="TELHA GALVALUME TP 40 0,43MM 6,00M"/>
    <x v="151"/>
    <n v="189"/>
  </r>
  <r>
    <x v="0"/>
    <s v="TELHA GALVALUME TP 40 0,43MM"/>
    <x v="151"/>
    <n v="152.4"/>
  </r>
  <r>
    <x v="1"/>
    <s v="TELHA GALVALUME TP 40 0,43MM 4,00M"/>
    <x v="151"/>
    <n v="72"/>
  </r>
  <r>
    <x v="6"/>
    <s v="TELHA GALVALUME TP 40 0,43MM 7,00M"/>
    <x v="151"/>
    <n v="62"/>
  </r>
  <r>
    <x v="4"/>
    <s v="TELHA GALVALUME TP 40 0,43MM 5,00M"/>
    <x v="151"/>
    <n v="51"/>
  </r>
  <r>
    <x v="17"/>
    <s v="TELHA CUMEEIRA GL TRAP 40 ABAS 300MM"/>
    <x v="151"/>
    <n v="35"/>
  </r>
  <r>
    <x v="3"/>
    <s v="TELHA GALVALUME TP 40 0,43MM 3,00M"/>
    <x v="151"/>
    <n v="22"/>
  </r>
  <r>
    <x v="10"/>
    <s v="TELHA GALVALUME OND 17 0,43MM 6,00M"/>
    <x v="151"/>
    <n v="7"/>
  </r>
  <r>
    <x v="8"/>
    <s v="TELHA GALVALUME OND 17 0,43MM 7,00M"/>
    <x v="151"/>
    <n v="1"/>
  </r>
  <r>
    <x v="0"/>
    <s v="TELHA GALVALUME TP 40 0,43MM"/>
    <x v="152"/>
    <n v="215.9"/>
  </r>
  <r>
    <x v="2"/>
    <s v="TELHA GALVALUME TP 40 0,43MM 6,00M"/>
    <x v="152"/>
    <n v="79"/>
  </r>
  <r>
    <x v="6"/>
    <s v="TELHA GALVALUME TP 40 0,43MM 7,00M"/>
    <x v="152"/>
    <n v="60"/>
  </r>
  <r>
    <x v="1"/>
    <s v="TELHA GALVALUME TP 40 0,43MM 4,00M"/>
    <x v="152"/>
    <n v="55"/>
  </r>
  <r>
    <x v="4"/>
    <s v="TELHA GALVALUME TP 40 0,43MM 5,00M"/>
    <x v="152"/>
    <n v="48"/>
  </r>
  <r>
    <x v="7"/>
    <s v="TELHA GALVALUME OND 17 0,43MM 4,00M"/>
    <x v="152"/>
    <n v="39"/>
  </r>
  <r>
    <x v="3"/>
    <s v="TELHA GALVALUME TP 40 0,43MM 3,00M"/>
    <x v="152"/>
    <n v="19"/>
  </r>
  <r>
    <x v="10"/>
    <s v="TELHA GALVALUME OND 17 0,43MM 6,00M"/>
    <x v="152"/>
    <n v="15"/>
  </r>
  <r>
    <x v="8"/>
    <s v="TELHA GALVALUME OND 17 0,43MM 7,00M"/>
    <x v="152"/>
    <n v="13"/>
  </r>
  <r>
    <x v="20"/>
    <s v="TELHA CUMEEIRA GL OND 17 ABAS 300MM"/>
    <x v="152"/>
    <n v="8"/>
  </r>
  <r>
    <x v="17"/>
    <s v="TELHA CUMEEIRA GL TRAP 40 ABAS 300MM"/>
    <x v="152"/>
    <n v="4"/>
  </r>
  <r>
    <x v="0"/>
    <s v="TELHA GALVALUME TP 40 0,43MM"/>
    <x v="153"/>
    <n v="250.7"/>
  </r>
  <r>
    <x v="3"/>
    <s v="TELHA GALVALUME TP 40 0,43MM 3,00M"/>
    <x v="153"/>
    <n v="98"/>
  </r>
  <r>
    <x v="1"/>
    <s v="TELHA GALVALUME TP 40 0,43MM 4,00M"/>
    <x v="153"/>
    <n v="83"/>
  </r>
  <r>
    <x v="6"/>
    <s v="TELHA GALVALUME TP 40 0,43MM 7,00M"/>
    <x v="153"/>
    <n v="54"/>
  </r>
  <r>
    <x v="2"/>
    <s v="TELHA GALVALUME TP 40 0,43MM 6,00M"/>
    <x v="153"/>
    <n v="52"/>
  </r>
  <r>
    <x v="4"/>
    <s v="TELHA GALVALUME TP 40 0,43MM 5,00M"/>
    <x v="153"/>
    <n v="31"/>
  </r>
  <r>
    <x v="18"/>
    <s v="TELHA GALVALUME TP 40 0,43MM 8,00M"/>
    <x v="153"/>
    <n v="8"/>
  </r>
  <r>
    <x v="8"/>
    <s v="TELHA GALVALUME OND 17 0,43MM 7,00M"/>
    <x v="153"/>
    <n v="7"/>
  </r>
  <r>
    <x v="10"/>
    <s v="TELHA GALVALUME OND 17 0,43MM 6,00M"/>
    <x v="153"/>
    <n v="5"/>
  </r>
  <r>
    <x v="0"/>
    <s v="TELHA GALVALUME TP 40 0,43MM"/>
    <x v="154"/>
    <n v="436.36"/>
  </r>
  <r>
    <x v="15"/>
    <s v="TELHA GALVALUME OND 17 0,43MM"/>
    <x v="154"/>
    <n v="117"/>
  </r>
  <r>
    <x v="2"/>
    <s v="TELHA GALVALUME TP 40 0,43MM 6,00M"/>
    <x v="154"/>
    <n v="87"/>
  </r>
  <r>
    <x v="4"/>
    <s v="TELHA GALVALUME TP 40 0,43MM 5,00M"/>
    <x v="154"/>
    <n v="50"/>
  </r>
  <r>
    <x v="1"/>
    <s v="TELHA GALVALUME TP 40 0,43MM 4,00M"/>
    <x v="154"/>
    <n v="45"/>
  </r>
  <r>
    <x v="6"/>
    <s v="TELHA GALVALUME TP 40 0,43MM 7,00M"/>
    <x v="154"/>
    <n v="28"/>
  </r>
  <r>
    <x v="18"/>
    <s v="TELHA GALVALUME TP 40 0,43MM 8,00M"/>
    <x v="154"/>
    <n v="21"/>
  </r>
  <r>
    <x v="3"/>
    <s v="TELHA GALVALUME TP 40 0,43MM 3,00M"/>
    <x v="154"/>
    <n v="20"/>
  </r>
  <r>
    <x v="17"/>
    <s v="TELHA CUMEEIRA GL TRAP 40 ABAS 300MM"/>
    <x v="154"/>
    <n v="19"/>
  </r>
  <r>
    <x v="10"/>
    <s v="TELHA GALVALUME OND 17 0,43MM 6,00M"/>
    <x v="154"/>
    <n v="18"/>
  </r>
  <r>
    <x v="5"/>
    <s v="TELHA GALVALUME OND 17 0,43MM 5,00M"/>
    <x v="154"/>
    <n v="6"/>
  </r>
  <r>
    <x v="8"/>
    <s v="TELHA GALVALUME OND 17 0,43MM 7,00M"/>
    <x v="154"/>
    <n v="3"/>
  </r>
  <r>
    <x v="15"/>
    <s v="TELHA GALVALUME OND 17 0,43MM"/>
    <x v="155"/>
    <n v="370.7"/>
  </r>
  <r>
    <x v="1"/>
    <s v="TELHA GALVALUME TP 40 0,43MM 4,00M"/>
    <x v="155"/>
    <n v="157"/>
  </r>
  <r>
    <x v="0"/>
    <s v="TELHA GALVALUME TP 40 0,43MM"/>
    <x v="155"/>
    <n v="142.4"/>
  </r>
  <r>
    <x v="2"/>
    <s v="TELHA GALVALUME TP 40 0,43MM 6,00M"/>
    <x v="155"/>
    <n v="87"/>
  </r>
  <r>
    <x v="4"/>
    <s v="TELHA GALVALUME TP 40 0,43MM 5,00M"/>
    <x v="155"/>
    <n v="77"/>
  </r>
  <r>
    <x v="3"/>
    <s v="TELHA GALVALUME TP 40 0,43MM 3,00M"/>
    <x v="155"/>
    <n v="29"/>
  </r>
  <r>
    <x v="10"/>
    <s v="TELHA GALVALUME OND 17 0,43MM 6,00M"/>
    <x v="155"/>
    <n v="26"/>
  </r>
  <r>
    <x v="6"/>
    <s v="TELHA GALVALUME TP 40 0,43MM 7,00M"/>
    <x v="155"/>
    <n v="24"/>
  </r>
  <r>
    <x v="18"/>
    <s v="TELHA GALVALUME TP 40 0,43MM 8,00M"/>
    <x v="155"/>
    <n v="20"/>
  </r>
  <r>
    <x v="9"/>
    <s v="TELHA GALVALUME OND 17 0,43MM 3,00M"/>
    <x v="155"/>
    <n v="19"/>
  </r>
  <r>
    <x v="17"/>
    <s v="TELHA CUMEEIRA GL TRAP 40 ABAS 300MM"/>
    <x v="155"/>
    <n v="17"/>
  </r>
  <r>
    <x v="16"/>
    <s v="TELHA GALVALUME OND 17 0,43MM 8,00M"/>
    <x v="155"/>
    <n v="15"/>
  </r>
  <r>
    <x v="7"/>
    <s v="TELHA GALVALUME OND 17 0,43MM 4,00M"/>
    <x v="155"/>
    <n v="8"/>
  </r>
  <r>
    <x v="8"/>
    <s v="TELHA GALVALUME OND 17 0,43MM 7,00M"/>
    <x v="155"/>
    <n v="7"/>
  </r>
  <r>
    <x v="5"/>
    <s v="TELHA GALVALUME OND 17 0,43MM 5,00M"/>
    <x v="155"/>
    <n v="2"/>
  </r>
  <r>
    <x v="0"/>
    <s v="TELHA GALVALUME TP 40 0,43MM"/>
    <x v="156"/>
    <n v="863.8"/>
  </r>
  <r>
    <x v="15"/>
    <s v="TELHA GALVALUME OND 17 0,43MM"/>
    <x v="156"/>
    <n v="509"/>
  </r>
  <r>
    <x v="2"/>
    <s v="TELHA GALVALUME TP 40 0,43MM 6,00M"/>
    <x v="156"/>
    <n v="221"/>
  </r>
  <r>
    <x v="10"/>
    <s v="TELHA GALVALUME OND 17 0,43MM 6,00M"/>
    <x v="156"/>
    <n v="114"/>
  </r>
  <r>
    <x v="4"/>
    <s v="TELHA GALVALUME TP 40 0,43MM 5,00M"/>
    <x v="156"/>
    <n v="75"/>
  </r>
  <r>
    <x v="16"/>
    <s v="TELHA GALVALUME OND 17 0,43MM 8,00M"/>
    <x v="156"/>
    <n v="60"/>
  </r>
  <r>
    <x v="1"/>
    <s v="TELHA GALVALUME TP 40 0,43MM 4,00M"/>
    <x v="156"/>
    <n v="59"/>
  </r>
  <r>
    <x v="3"/>
    <s v="TELHA GALVALUME TP 40 0,43MM 3,00M"/>
    <x v="156"/>
    <n v="55"/>
  </r>
  <r>
    <x v="6"/>
    <s v="TELHA GALVALUME TP 40 0,43MM 7,00M"/>
    <x v="156"/>
    <n v="49"/>
  </r>
  <r>
    <x v="17"/>
    <s v="TELHA CUMEEIRA GL TRAP 40 ABAS 300MM"/>
    <x v="156"/>
    <n v="30"/>
  </r>
  <r>
    <x v="9"/>
    <s v="TELHA GALVALUME OND 17 0,43MM 3,00M"/>
    <x v="156"/>
    <n v="18"/>
  </r>
  <r>
    <x v="18"/>
    <s v="TELHA GALVALUME TP 40 0,43MM 8,00M"/>
    <x v="156"/>
    <n v="5"/>
  </r>
  <r>
    <x v="7"/>
    <s v="TELHA GALVALUME OND 17 0,43MM 4,00M"/>
    <x v="156"/>
    <n v="2"/>
  </r>
  <r>
    <x v="4"/>
    <s v="TELHA GALVALUME TP 40 0,43MM 5,00M"/>
    <x v="157"/>
    <n v="83"/>
  </r>
  <r>
    <x v="1"/>
    <s v="TELHA GALVALUME TP 40 0,43MM 4,00M"/>
    <x v="157"/>
    <n v="82"/>
  </r>
  <r>
    <x v="0"/>
    <s v="TELHA GALVALUME TP 40 0,43MM"/>
    <x v="157"/>
    <n v="54"/>
  </r>
  <r>
    <x v="2"/>
    <s v="TELHA GALVALUME TP 40 0,43MM 6,00M"/>
    <x v="157"/>
    <n v="50"/>
  </r>
  <r>
    <x v="3"/>
    <s v="TELHA GALVALUME TP 40 0,43MM 3,00M"/>
    <x v="157"/>
    <n v="43"/>
  </r>
  <r>
    <x v="10"/>
    <s v="TELHA GALVALUME OND 17 0,43MM 6,00M"/>
    <x v="157"/>
    <n v="16"/>
  </r>
  <r>
    <x v="6"/>
    <s v="TELHA GALVALUME TP 40 0,43MM 7,00M"/>
    <x v="157"/>
    <n v="9"/>
  </r>
  <r>
    <x v="18"/>
    <s v="TELHA GALVALUME TP 40 0,43MM 8,00M"/>
    <x v="157"/>
    <n v="7"/>
  </r>
  <r>
    <x v="15"/>
    <s v="TELHA GALVALUME OND 17 0,43MM"/>
    <x v="158"/>
    <n v="151.69999999999999"/>
  </r>
  <r>
    <x v="2"/>
    <s v="TELHA GALVALUME TP 40 0,43MM 6,00M"/>
    <x v="158"/>
    <n v="91"/>
  </r>
  <r>
    <x v="4"/>
    <s v="TELHA GALVALUME TP 40 0,43MM 5,00M"/>
    <x v="158"/>
    <n v="61"/>
  </r>
  <r>
    <x v="3"/>
    <s v="TELHA GALVALUME TP 40 0,43MM 3,00M"/>
    <x v="158"/>
    <n v="50"/>
  </r>
  <r>
    <x v="6"/>
    <s v="TELHA GALVALUME TP 40 0,43MM 7,00M"/>
    <x v="158"/>
    <n v="42"/>
  </r>
  <r>
    <x v="16"/>
    <s v="TELHA GALVALUME OND 17 0,43MM 8,00M"/>
    <x v="158"/>
    <n v="33"/>
  </r>
  <r>
    <x v="10"/>
    <s v="TELHA GALVALUME OND 17 0,43MM 6,00M"/>
    <x v="158"/>
    <n v="20"/>
  </r>
  <r>
    <x v="8"/>
    <s v="TELHA GALVALUME OND 17 0,43MM 7,00M"/>
    <x v="158"/>
    <n v="16"/>
  </r>
  <r>
    <x v="18"/>
    <s v="TELHA GALVALUME TP 40 0,43MM 8,00M"/>
    <x v="158"/>
    <n v="9"/>
  </r>
  <r>
    <x v="5"/>
    <s v="TELHA GALVALUME OND 17 0,43MM 5,00M"/>
    <x v="158"/>
    <n v="8"/>
  </r>
  <r>
    <x v="1"/>
    <s v="TELHA GALVALUME TP 40 0,43MM 4,00M"/>
    <x v="158"/>
    <n v="2"/>
  </r>
  <r>
    <x v="0"/>
    <s v="TELHA GALVALUME TP 40 0,43MM"/>
    <x v="159"/>
    <n v="1299.3"/>
  </r>
  <r>
    <x v="2"/>
    <s v="TELHA GALVALUME TP 40 0,43MM 6,00M"/>
    <x v="159"/>
    <n v="227"/>
  </r>
  <r>
    <x v="4"/>
    <s v="TELHA GALVALUME TP 40 0,43MM 5,00M"/>
    <x v="159"/>
    <n v="83"/>
  </r>
  <r>
    <x v="17"/>
    <s v="TELHA CUMEEIRA GL TRAP 40 ABAS 300MM"/>
    <x v="159"/>
    <n v="60"/>
  </r>
  <r>
    <x v="1"/>
    <s v="TELHA GALVALUME TP 40 0,43MM 4,00M"/>
    <x v="159"/>
    <n v="57"/>
  </r>
  <r>
    <x v="6"/>
    <s v="TELHA GALVALUME TP 40 0,43MM 7,00M"/>
    <x v="159"/>
    <n v="51"/>
  </r>
  <r>
    <x v="18"/>
    <s v="TELHA GALVALUME TP 40 0,43MM 8,00M"/>
    <x v="159"/>
    <n v="46"/>
  </r>
  <r>
    <x v="8"/>
    <s v="TELHA GALVALUME OND 17 0,43MM 7,00M"/>
    <x v="159"/>
    <n v="26"/>
  </r>
  <r>
    <x v="7"/>
    <s v="TELHA GALVALUME OND 17 0,43MM 4,00M"/>
    <x v="159"/>
    <n v="15"/>
  </r>
  <r>
    <x v="3"/>
    <s v="TELHA GALVALUME TP 40 0,43MM 3,00M"/>
    <x v="159"/>
    <n v="14"/>
  </r>
  <r>
    <x v="10"/>
    <s v="TELHA GALVALUME OND 17 0,43MM 6,00M"/>
    <x v="159"/>
    <n v="4"/>
  </r>
  <r>
    <x v="0"/>
    <s v="TELHA GALVALUME TP 40 0,43MM"/>
    <x v="160"/>
    <n v="400.25"/>
  </r>
  <r>
    <x v="2"/>
    <s v="TELHA GALVALUME TP 40 0,43MM 6,00M"/>
    <x v="160"/>
    <n v="135"/>
  </r>
  <r>
    <x v="4"/>
    <s v="TELHA GALVALUME TP 40 0,43MM 5,00M"/>
    <x v="160"/>
    <n v="120"/>
  </r>
  <r>
    <x v="1"/>
    <s v="TELHA GALVALUME TP 40 0,43MM 4,00M"/>
    <x v="160"/>
    <n v="53"/>
  </r>
  <r>
    <x v="6"/>
    <s v="TELHA GALVALUME TP 40 0,43MM 7,00M"/>
    <x v="160"/>
    <n v="46"/>
  </r>
  <r>
    <x v="17"/>
    <s v="TELHA CUMEEIRA GL TRAP 40 ABAS 300MM"/>
    <x v="160"/>
    <n v="20"/>
  </r>
  <r>
    <x v="3"/>
    <s v="TELHA GALVALUME TP 40 0,43MM 3,00M"/>
    <x v="160"/>
    <n v="14"/>
  </r>
  <r>
    <x v="10"/>
    <s v="TELHA GALVALUME OND 17 0,43MM 6,00M"/>
    <x v="160"/>
    <n v="3"/>
  </r>
  <r>
    <x v="9"/>
    <s v="TELHA GALVALUME OND 17 0,43MM 3,00M"/>
    <x v="160"/>
    <n v="2"/>
  </r>
  <r>
    <x v="7"/>
    <s v="TELHA GALVALUME OND 17 0,43MM 4,00M"/>
    <x v="160"/>
    <n v="1"/>
  </r>
  <r>
    <x v="0"/>
    <s v="TELHA GALVALUME TP 40 0,43MM"/>
    <x v="161"/>
    <n v="386.9"/>
  </r>
  <r>
    <x v="2"/>
    <s v="TELHA GALVALUME TP 40 0,43MM 6,00M"/>
    <x v="161"/>
    <n v="37"/>
  </r>
  <r>
    <x v="4"/>
    <s v="TELHA GALVALUME TP 40 0,43MM 5,00M"/>
    <x v="161"/>
    <n v="33"/>
  </r>
  <r>
    <x v="6"/>
    <s v="TELHA GALVALUME TP 40 0,43MM 7,00M"/>
    <x v="161"/>
    <n v="20"/>
  </r>
  <r>
    <x v="3"/>
    <s v="TELHA GALVALUME TP 40 0,43MM 3,00M"/>
    <x v="161"/>
    <n v="16"/>
  </r>
  <r>
    <x v="17"/>
    <s v="TELHA CUMEEIRA GL TRAP 40 ABAS 300MM"/>
    <x v="161"/>
    <n v="10"/>
  </r>
  <r>
    <x v="1"/>
    <s v="TELHA GALVALUME TP 40 0,43MM 4,00M"/>
    <x v="161"/>
    <n v="7"/>
  </r>
  <r>
    <x v="0"/>
    <s v="TELHA GALVALUME TP 40 0,43MM"/>
    <x v="162"/>
    <n v="189.25"/>
  </r>
  <r>
    <x v="4"/>
    <s v="TELHA GALVALUME TP 40 0,43MM 5,00M"/>
    <x v="162"/>
    <n v="79"/>
  </r>
  <r>
    <x v="10"/>
    <s v="TELHA GALVALUME OND 17 0,43MM 6,00M"/>
    <x v="162"/>
    <n v="55"/>
  </r>
  <r>
    <x v="2"/>
    <s v="TELHA GALVALUME TP 40 0,43MM 6,00M"/>
    <x v="162"/>
    <n v="47"/>
  </r>
  <r>
    <x v="1"/>
    <s v="TELHA GALVALUME TP 40 0,43MM 4,00M"/>
    <x v="162"/>
    <n v="27"/>
  </r>
  <r>
    <x v="17"/>
    <s v="TELHA CUMEEIRA GL TRAP 40 ABAS 300MM"/>
    <x v="162"/>
    <n v="23"/>
  </r>
  <r>
    <x v="8"/>
    <s v="TELHA GALVALUME OND 17 0,43MM 7,00M"/>
    <x v="162"/>
    <n v="22"/>
  </r>
  <r>
    <x v="7"/>
    <s v="TELHA GALVALUME OND 17 0,43MM 4,00M"/>
    <x v="162"/>
    <n v="16"/>
  </r>
  <r>
    <x v="6"/>
    <s v="TELHA GALVALUME TP 40 0,43MM 7,00M"/>
    <x v="162"/>
    <n v="11"/>
  </r>
  <r>
    <x v="3"/>
    <s v="TELHA GALVALUME TP 40 0,43MM 3,00M"/>
    <x v="162"/>
    <n v="9"/>
  </r>
  <r>
    <x v="18"/>
    <s v="TELHA GALVALUME TP 40 0,43MM 8,00M"/>
    <x v="162"/>
    <n v="6"/>
  </r>
  <r>
    <x v="0"/>
    <s v="TELHA GALVALUME TP 40 0,43MM"/>
    <x v="163"/>
    <n v="347.79999999999995"/>
  </r>
  <r>
    <x v="15"/>
    <s v="TELHA GALVALUME OND 17 0,43MM"/>
    <x v="163"/>
    <n v="308"/>
  </r>
  <r>
    <x v="1"/>
    <s v="TELHA GALVALUME TP 40 0,43MM 4,00M"/>
    <x v="163"/>
    <n v="75"/>
  </r>
  <r>
    <x v="2"/>
    <s v="TELHA GALVALUME TP 40 0,43MM 6,00M"/>
    <x v="163"/>
    <n v="71"/>
  </r>
  <r>
    <x v="4"/>
    <s v="TELHA GALVALUME TP 40 0,43MM 5,00M"/>
    <x v="163"/>
    <n v="62"/>
  </r>
  <r>
    <x v="3"/>
    <s v="TELHA GALVALUME TP 40 0,43MM 3,00M"/>
    <x v="163"/>
    <n v="31"/>
  </r>
  <r>
    <x v="8"/>
    <s v="TELHA GALVALUME OND 17 0,43MM 7,00M"/>
    <x v="163"/>
    <n v="20"/>
  </r>
  <r>
    <x v="17"/>
    <s v="TELHA CUMEEIRA GL TRAP 40 ABAS 300MM"/>
    <x v="163"/>
    <n v="15"/>
  </r>
  <r>
    <x v="9"/>
    <s v="TELHA GALVALUME OND 17 0,43MM 3,00M"/>
    <x v="163"/>
    <n v="10"/>
  </r>
  <r>
    <x v="5"/>
    <s v="TELHA GALVALUME OND 17 0,43MM 5,00M"/>
    <x v="163"/>
    <n v="1"/>
  </r>
  <r>
    <x v="10"/>
    <s v="TELHA GALVALUME OND 17 0,43MM 6,00M"/>
    <x v="163"/>
    <n v="1"/>
  </r>
  <r>
    <x v="18"/>
    <s v="TELHA GALVALUME TP 40 0,43MM 8,00M"/>
    <x v="163"/>
    <n v="1"/>
  </r>
  <r>
    <x v="0"/>
    <s v="TELHA GALVALUME TP 40 0,43MM"/>
    <x v="164"/>
    <n v="1590.4"/>
  </r>
  <r>
    <x v="17"/>
    <s v="TELHA CUMEEIRA GL TRAP 40 ABAS 300MM"/>
    <x v="164"/>
    <n v="163"/>
  </r>
  <r>
    <x v="2"/>
    <s v="TELHA GALVALUME TP 40 0,43MM 6,00M"/>
    <x v="164"/>
    <n v="118"/>
  </r>
  <r>
    <x v="4"/>
    <s v="TELHA GALVALUME TP 40 0,43MM 5,00M"/>
    <x v="164"/>
    <n v="74"/>
  </r>
  <r>
    <x v="1"/>
    <s v="TELHA GALVALUME TP 40 0,43MM 4,00M"/>
    <x v="164"/>
    <n v="67"/>
  </r>
  <r>
    <x v="3"/>
    <s v="TELHA GALVALUME TP 40 0,43MM 3,00M"/>
    <x v="164"/>
    <n v="66"/>
  </r>
  <r>
    <x v="10"/>
    <s v="TELHA GALVALUME OND 17 0,43MM 6,00M"/>
    <x v="164"/>
    <n v="38"/>
  </r>
  <r>
    <x v="18"/>
    <s v="TELHA GALVALUME TP 40 0,43MM 8,00M"/>
    <x v="164"/>
    <n v="36"/>
  </r>
  <r>
    <x v="20"/>
    <s v="TELHA CUMEEIRA GL OND 17 ABAS 300MM"/>
    <x v="164"/>
    <n v="28"/>
  </r>
  <r>
    <x v="6"/>
    <s v="TELHA GALVALUME TP 40 0,43MM 7,00M"/>
    <x v="164"/>
    <n v="23"/>
  </r>
  <r>
    <x v="9"/>
    <s v="TELHA GALVALUME OND 17 0,43MM 3,00M"/>
    <x v="164"/>
    <n v="15"/>
  </r>
  <r>
    <x v="8"/>
    <s v="TELHA GALVALUME OND 17 0,43MM 7,00M"/>
    <x v="164"/>
    <n v="7"/>
  </r>
  <r>
    <x v="4"/>
    <s v="TELHA GALVALUME TP 40 0,43MM 5,00M"/>
    <x v="165"/>
    <n v="87"/>
  </r>
  <r>
    <x v="2"/>
    <s v="TELHA GALVALUME TP 40 0,43MM 6,00M"/>
    <x v="165"/>
    <n v="59"/>
  </r>
  <r>
    <x v="1"/>
    <s v="TELHA GALVALUME TP 40 0,43MM 4,00M"/>
    <x v="165"/>
    <n v="55"/>
  </r>
  <r>
    <x v="3"/>
    <s v="TELHA GALVALUME TP 40 0,43MM 3,00M"/>
    <x v="165"/>
    <n v="31"/>
  </r>
  <r>
    <x v="17"/>
    <s v="TELHA CUMEEIRA GL TRAP 40 ABAS 300MM"/>
    <x v="165"/>
    <n v="24"/>
  </r>
  <r>
    <x v="5"/>
    <s v="TELHA GALVALUME OND 17 0,43MM 5,00M"/>
    <x v="165"/>
    <n v="11"/>
  </r>
  <r>
    <x v="8"/>
    <s v="TELHA GALVALUME OND 17 0,43MM 7,00M"/>
    <x v="165"/>
    <n v="8"/>
  </r>
  <r>
    <x v="7"/>
    <s v="TELHA GALVALUME OND 17 0,43MM 4,00M"/>
    <x v="165"/>
    <n v="6"/>
  </r>
  <r>
    <x v="20"/>
    <s v="TELHA CUMEEIRA GL OND 17 ABAS 300MM"/>
    <x v="165"/>
    <n v="5"/>
  </r>
  <r>
    <x v="16"/>
    <s v="TELHA GALVALUME OND 17 0,43MM 8,00M"/>
    <x v="165"/>
    <n v="1"/>
  </r>
  <r>
    <x v="0"/>
    <s v="TELHA GALVALUME TP 40 0,43MM"/>
    <x v="166"/>
    <n v="787.2"/>
  </r>
  <r>
    <x v="4"/>
    <s v="TELHA GALVALUME TP 40 0,43MM 5,00M"/>
    <x v="166"/>
    <n v="116"/>
  </r>
  <r>
    <x v="15"/>
    <s v="TELHA GALVALUME OND 17 0,43MM"/>
    <x v="166"/>
    <n v="67.2"/>
  </r>
  <r>
    <x v="10"/>
    <s v="TELHA GALVALUME OND 17 0,43MM 6,00M"/>
    <x v="166"/>
    <n v="47"/>
  </r>
  <r>
    <x v="2"/>
    <s v="TELHA GALVALUME TP 40 0,43MM 6,00M"/>
    <x v="166"/>
    <n v="46"/>
  </r>
  <r>
    <x v="6"/>
    <s v="TELHA GALVALUME TP 40 0,43MM 7,00M"/>
    <x v="166"/>
    <n v="35"/>
  </r>
  <r>
    <x v="9"/>
    <s v="TELHA GALVALUME OND 17 0,43MM 3,00M"/>
    <x v="166"/>
    <n v="22"/>
  </r>
  <r>
    <x v="18"/>
    <s v="TELHA GALVALUME TP 40 0,43MM 8,00M"/>
    <x v="166"/>
    <n v="17"/>
  </r>
  <r>
    <x v="8"/>
    <s v="TELHA GALVALUME OND 17 0,43MM 7,00M"/>
    <x v="166"/>
    <n v="16"/>
  </r>
  <r>
    <x v="1"/>
    <s v="TELHA GALVALUME TP 40 0,43MM 4,00M"/>
    <x v="166"/>
    <n v="14"/>
  </r>
  <r>
    <x v="17"/>
    <s v="TELHA CUMEEIRA GL TRAP 40 ABAS 300MM"/>
    <x v="166"/>
    <n v="13"/>
  </r>
  <r>
    <x v="16"/>
    <s v="TELHA GALVALUME OND 17 0,43MM 8,00M"/>
    <x v="166"/>
    <n v="6"/>
  </r>
  <r>
    <x v="7"/>
    <s v="TELHA GALVALUME OND 17 0,43MM 4,00M"/>
    <x v="166"/>
    <n v="3"/>
  </r>
  <r>
    <x v="5"/>
    <s v="TELHA GALVALUME OND 17 0,43MM 5,00M"/>
    <x v="166"/>
    <n v="2"/>
  </r>
  <r>
    <x v="1"/>
    <s v="TELHA GALVALUME TP 40 0,43MM 4,00M"/>
    <x v="167"/>
    <n v="111"/>
  </r>
  <r>
    <x v="0"/>
    <s v="TELHA GALVALUME TP 40 0,43MM"/>
    <x v="167"/>
    <n v="104.5"/>
  </r>
  <r>
    <x v="4"/>
    <s v="TELHA GALVALUME TP 40 0,43MM 5,00M"/>
    <x v="167"/>
    <n v="70"/>
  </r>
  <r>
    <x v="2"/>
    <s v="TELHA GALVALUME TP 40 0,43MM 6,00M"/>
    <x v="167"/>
    <n v="66"/>
  </r>
  <r>
    <x v="5"/>
    <s v="TELHA GALVALUME OND 17 0,43MM 5,00M"/>
    <x v="167"/>
    <n v="27"/>
  </r>
  <r>
    <x v="17"/>
    <s v="TELHA CUMEEIRA GL TRAP 40 ABAS 300MM"/>
    <x v="167"/>
    <n v="25"/>
  </r>
  <r>
    <x v="3"/>
    <s v="TELHA GALVALUME TP 40 0,43MM 3,00M"/>
    <x v="167"/>
    <n v="21"/>
  </r>
  <r>
    <x v="10"/>
    <s v="TELHA GALVALUME OND 17 0,43MM 6,00M"/>
    <x v="167"/>
    <n v="8"/>
  </r>
  <r>
    <x v="6"/>
    <s v="TELHA GALVALUME TP 40 0,43MM 7,00M"/>
    <x v="167"/>
    <n v="5"/>
  </r>
  <r>
    <x v="8"/>
    <s v="TELHA GALVALUME OND 17 0,43MM 7,00M"/>
    <x v="167"/>
    <n v="4"/>
  </r>
  <r>
    <x v="7"/>
    <s v="TELHA GALVALUME OND 17 0,43MM 4,00M"/>
    <x v="167"/>
    <n v="2"/>
  </r>
  <r>
    <x v="0"/>
    <s v="TELHA GALVALUME TP 40 0,43MM"/>
    <x v="168"/>
    <n v="113.25"/>
  </r>
  <r>
    <x v="6"/>
    <s v="TELHA GALVALUME TP 40 0,43MM 7,00M"/>
    <x v="168"/>
    <n v="98"/>
  </r>
  <r>
    <x v="2"/>
    <s v="TELHA GALVALUME TP 40 0,43MM 6,00M"/>
    <x v="168"/>
    <n v="67"/>
  </r>
  <r>
    <x v="10"/>
    <s v="TELHA GALVALUME OND 17 0,43MM 6,00M"/>
    <x v="168"/>
    <n v="47"/>
  </r>
  <r>
    <x v="4"/>
    <s v="TELHA GALVALUME TP 40 0,43MM 5,00M"/>
    <x v="168"/>
    <n v="46"/>
  </r>
  <r>
    <x v="16"/>
    <s v="TELHA GALVALUME OND 17 0,43MM 8,00M"/>
    <x v="168"/>
    <n v="42"/>
  </r>
  <r>
    <x v="1"/>
    <s v="TELHA GALVALUME TP 40 0,43MM 4,00M"/>
    <x v="168"/>
    <n v="33"/>
  </r>
  <r>
    <x v="17"/>
    <s v="TELHA CUMEEIRA GL TRAP 40 ABAS 300MM"/>
    <x v="168"/>
    <n v="32"/>
  </r>
  <r>
    <x v="7"/>
    <s v="TELHA GALVALUME OND 17 0,43MM 4,00M"/>
    <x v="168"/>
    <n v="30"/>
  </r>
  <r>
    <x v="18"/>
    <s v="TELHA GALVALUME TP 40 0,43MM 8,00M"/>
    <x v="168"/>
    <n v="8"/>
  </r>
  <r>
    <x v="9"/>
    <s v="TELHA GALVALUME OND 17 0,43MM 3,00M"/>
    <x v="168"/>
    <n v="7"/>
  </r>
  <r>
    <x v="3"/>
    <s v="TELHA GALVALUME TP 40 0,43MM 3,00M"/>
    <x v="168"/>
    <n v="6"/>
  </r>
  <r>
    <x v="5"/>
    <s v="TELHA GALVALUME OND 17 0,43MM 5,00M"/>
    <x v="168"/>
    <n v="5"/>
  </r>
  <r>
    <x v="2"/>
    <s v="TELHA GALVALUME TP 40 0,43MM 6,00M"/>
    <x v="169"/>
    <n v="160"/>
  </r>
  <r>
    <x v="4"/>
    <s v="TELHA GALVALUME TP 40 0,43MM 5,00M"/>
    <x v="169"/>
    <n v="95"/>
  </r>
  <r>
    <x v="1"/>
    <s v="TELHA GALVALUME TP 40 0,43MM 4,00M"/>
    <x v="169"/>
    <n v="73"/>
  </r>
  <r>
    <x v="0"/>
    <s v="TELHA GALVALUME TP 40 0,43MM"/>
    <x v="169"/>
    <n v="49.5"/>
  </r>
  <r>
    <x v="6"/>
    <s v="TELHA GALVALUME TP 40 0,43MM 7,00M"/>
    <x v="169"/>
    <n v="49"/>
  </r>
  <r>
    <x v="5"/>
    <s v="TELHA GALVALUME OND 17 0,43MM 5,00M"/>
    <x v="169"/>
    <n v="20"/>
  </r>
  <r>
    <x v="17"/>
    <s v="TELHA CUMEEIRA GL TRAP 40 ABAS 300MM"/>
    <x v="169"/>
    <n v="14"/>
  </r>
  <r>
    <x v="10"/>
    <s v="TELHA GALVALUME OND 17 0,43MM 6,00M"/>
    <x v="169"/>
    <n v="10"/>
  </r>
  <r>
    <x v="3"/>
    <s v="TELHA GALVALUME TP 40 0,43MM 3,00M"/>
    <x v="169"/>
    <n v="8"/>
  </r>
  <r>
    <x v="18"/>
    <s v="TELHA GALVALUME TP 40 0,43MM 8,00M"/>
    <x v="169"/>
    <n v="8"/>
  </r>
  <r>
    <x v="8"/>
    <s v="TELHA GALVALUME OND 17 0,43MM 7,00M"/>
    <x v="169"/>
    <n v="5"/>
  </r>
  <r>
    <x v="7"/>
    <s v="TELHA GALVALUME OND 17 0,43MM 4,00M"/>
    <x v="169"/>
    <n v="5"/>
  </r>
  <r>
    <x v="16"/>
    <s v="TELHA GALVALUME OND 17 0,43MM 8,00M"/>
    <x v="169"/>
    <n v="2"/>
  </r>
  <r>
    <x v="0"/>
    <s v="TELHA GALVALUME TP 40 0,43MM"/>
    <x v="170"/>
    <n v="511.87"/>
  </r>
  <r>
    <x v="2"/>
    <s v="TELHA GALVALUME TP 40 0,43MM 6,00M"/>
    <x v="170"/>
    <n v="172"/>
  </r>
  <r>
    <x v="3"/>
    <s v="TELHA GALVALUME TP 40 0,43MM 3,00M"/>
    <x v="170"/>
    <n v="48"/>
  </r>
  <r>
    <x v="8"/>
    <s v="TELHA GALVALUME OND 17 0,43MM 7,00M"/>
    <x v="170"/>
    <n v="44"/>
  </r>
  <r>
    <x v="10"/>
    <s v="TELHA GALVALUME OND 17 0,43MM 6,00M"/>
    <x v="170"/>
    <n v="40"/>
  </r>
  <r>
    <x v="4"/>
    <s v="TELHA GALVALUME TP 40 0,43MM 5,00M"/>
    <x v="170"/>
    <n v="30"/>
  </r>
  <r>
    <x v="5"/>
    <s v="TELHA GALVALUME OND 17 0,43MM 5,00M"/>
    <x v="170"/>
    <n v="24"/>
  </r>
  <r>
    <x v="6"/>
    <s v="TELHA GALVALUME TP 40 0,43MM 7,00M"/>
    <x v="170"/>
    <n v="18"/>
  </r>
  <r>
    <x v="7"/>
    <s v="TELHA GALVALUME OND 17 0,43MM 4,00M"/>
    <x v="170"/>
    <n v="12"/>
  </r>
  <r>
    <x v="1"/>
    <s v="TELHA GALVALUME TP 40 0,43MM 4,00M"/>
    <x v="170"/>
    <n v="8"/>
  </r>
  <r>
    <x v="17"/>
    <s v="TELHA CUMEEIRA GL TRAP 40 ABAS 300MM"/>
    <x v="170"/>
    <n v="4"/>
  </r>
  <r>
    <x v="0"/>
    <s v="TELHA GALVALUME TP 40 0,43MM"/>
    <x v="171"/>
    <n v="259"/>
  </r>
  <r>
    <x v="4"/>
    <s v="TELHA GALVALUME TP 40 0,43MM 5,00M"/>
    <x v="171"/>
    <n v="115"/>
  </r>
  <r>
    <x v="2"/>
    <s v="TELHA GALVALUME TP 40 0,43MM 6,00M"/>
    <x v="171"/>
    <n v="98"/>
  </r>
  <r>
    <x v="10"/>
    <s v="TELHA GALVALUME OND 17 0,43MM 6,00M"/>
    <x v="171"/>
    <n v="52"/>
  </r>
  <r>
    <x v="1"/>
    <s v="TELHA GALVALUME TP 40 0,43MM 4,00M"/>
    <x v="171"/>
    <n v="40"/>
  </r>
  <r>
    <x v="9"/>
    <s v="TELHA GALVALUME OND 17 0,43MM 3,00M"/>
    <x v="171"/>
    <n v="26"/>
  </r>
  <r>
    <x v="6"/>
    <s v="TELHA GALVALUME TP 40 0,43MM 7,00M"/>
    <x v="171"/>
    <n v="21"/>
  </r>
  <r>
    <x v="17"/>
    <s v="TELHA CUMEEIRA GL TRAP 40 ABAS 300MM"/>
    <x v="171"/>
    <n v="15"/>
  </r>
  <r>
    <x v="5"/>
    <s v="TELHA GALVALUME OND 17 0,43MM 5,00M"/>
    <x v="171"/>
    <n v="12"/>
  </r>
  <r>
    <x v="3"/>
    <s v="TELHA GALVALUME TP 40 0,43MM 3,00M"/>
    <x v="171"/>
    <n v="4"/>
  </r>
  <r>
    <x v="7"/>
    <s v="TELHA GALVALUME OND 17 0,43MM 4,00M"/>
    <x v="171"/>
    <n v="3"/>
  </r>
  <r>
    <x v="18"/>
    <s v="TELHA GALVALUME TP 40 0,43MM 8,00M"/>
    <x v="171"/>
    <n v="2"/>
  </r>
  <r>
    <x v="0"/>
    <s v="TELHA GALVALUME TP 40 0,43MM"/>
    <x v="172"/>
    <n v="319.60000000000002"/>
  </r>
  <r>
    <x v="6"/>
    <s v="TELHA GALVALUME TP 40 0,43MM 7,00M"/>
    <x v="172"/>
    <n v="108"/>
  </r>
  <r>
    <x v="1"/>
    <s v="TELHA GALVALUME TP 40 0,43MM 4,00M"/>
    <x v="172"/>
    <n v="102"/>
  </r>
  <r>
    <x v="2"/>
    <s v="TELHA GALVALUME TP 40 0,43MM 6,00M"/>
    <x v="172"/>
    <n v="72"/>
  </r>
  <r>
    <x v="4"/>
    <s v="TELHA GALVALUME TP 40 0,43MM 5,00M"/>
    <x v="172"/>
    <n v="41"/>
  </r>
  <r>
    <x v="3"/>
    <s v="TELHA GALVALUME TP 40 0,43MM 3,00M"/>
    <x v="172"/>
    <n v="26"/>
  </r>
  <r>
    <x v="17"/>
    <s v="TELHA CUMEEIRA GL TRAP 40 ABAS 300MM"/>
    <x v="172"/>
    <n v="17"/>
  </r>
  <r>
    <x v="10"/>
    <s v="TELHA GALVALUME OND 17 0,43MM 6,00M"/>
    <x v="172"/>
    <n v="6"/>
  </r>
  <r>
    <x v="7"/>
    <s v="TELHA GALVALUME OND 17 0,43MM 4,00M"/>
    <x v="172"/>
    <n v="6"/>
  </r>
  <r>
    <x v="5"/>
    <s v="TELHA GALVALUME OND 17 0,43MM 5,00M"/>
    <x v="172"/>
    <n v="5"/>
  </r>
  <r>
    <x v="8"/>
    <s v="TELHA GALVALUME OND 17 0,43MM 7,00M"/>
    <x v="172"/>
    <n v="3"/>
  </r>
  <r>
    <x v="4"/>
    <s v="TELHA GALVALUME TP 40 0,43MM 5,00M"/>
    <x v="173"/>
    <n v="81"/>
  </r>
  <r>
    <x v="3"/>
    <s v="TELHA GALVALUME TP 40 0,43MM 3,00M"/>
    <x v="173"/>
    <n v="68"/>
  </r>
  <r>
    <x v="2"/>
    <s v="TELHA GALVALUME TP 40 0,43MM 6,00M"/>
    <x v="173"/>
    <n v="64"/>
  </r>
  <r>
    <x v="18"/>
    <s v="TELHA GALVALUME TP 40 0,43MM 8,00M"/>
    <x v="173"/>
    <n v="62"/>
  </r>
  <r>
    <x v="10"/>
    <s v="TELHA GALVALUME OND 17 0,43MM 6,00M"/>
    <x v="173"/>
    <n v="39"/>
  </r>
  <r>
    <x v="6"/>
    <s v="TELHA GALVALUME TP 40 0,43MM 7,00M"/>
    <x v="173"/>
    <n v="33"/>
  </r>
  <r>
    <x v="1"/>
    <s v="TELHA GALVALUME TP 40 0,43MM 4,00M"/>
    <x v="173"/>
    <n v="23"/>
  </r>
  <r>
    <x v="9"/>
    <s v="TELHA GALVALUME OND 17 0,43MM 3,00M"/>
    <x v="173"/>
    <n v="23"/>
  </r>
  <r>
    <x v="5"/>
    <s v="TELHA GALVALUME OND 17 0,43MM 5,00M"/>
    <x v="173"/>
    <n v="17"/>
  </r>
  <r>
    <x v="8"/>
    <s v="TELHA GALVALUME OND 17 0,43MM 7,00M"/>
    <x v="173"/>
    <n v="15"/>
  </r>
  <r>
    <x v="7"/>
    <s v="TELHA GALVALUME OND 17 0,43MM 4,00M"/>
    <x v="173"/>
    <n v="15"/>
  </r>
  <r>
    <x v="17"/>
    <s v="TELHA CUMEEIRA GL TRAP 40 ABAS 300MM"/>
    <x v="173"/>
    <n v="10"/>
  </r>
  <r>
    <x v="0"/>
    <s v="TELHA GALVALUME TP 40 0,43MM"/>
    <x v="173"/>
    <n v="9"/>
  </r>
  <r>
    <x v="0"/>
    <s v="TELHA GALVALUME TP 40 0,43MM"/>
    <x v="174"/>
    <n v="475.8"/>
  </r>
  <r>
    <x v="2"/>
    <s v="TELHA GALVALUME TP 40 0,43MM 6,00M"/>
    <x v="174"/>
    <n v="249"/>
  </r>
  <r>
    <x v="4"/>
    <s v="TELHA GALVALUME TP 40 0,43MM 5,00M"/>
    <x v="174"/>
    <n v="125"/>
  </r>
  <r>
    <x v="17"/>
    <s v="TELHA CUMEEIRA GL TRAP 40 ABAS 300MM"/>
    <x v="174"/>
    <n v="92"/>
  </r>
  <r>
    <x v="10"/>
    <s v="TELHA GALVALUME OND 17 0,43MM 6,00M"/>
    <x v="174"/>
    <n v="82"/>
  </r>
  <r>
    <x v="6"/>
    <s v="TELHA GALVALUME TP 40 0,43MM 7,00M"/>
    <x v="174"/>
    <n v="75"/>
  </r>
  <r>
    <x v="1"/>
    <s v="TELHA GALVALUME TP 40 0,43MM 4,00M"/>
    <x v="174"/>
    <n v="69"/>
  </r>
  <r>
    <x v="16"/>
    <s v="TELHA GALVALUME OND 17 0,43MM 8,00M"/>
    <x v="174"/>
    <n v="45"/>
  </r>
  <r>
    <x v="3"/>
    <s v="TELHA GALVALUME TP 40 0,43MM 3,00M"/>
    <x v="174"/>
    <n v="36"/>
  </r>
  <r>
    <x v="18"/>
    <s v="TELHA GALVALUME TP 40 0,43MM 8,00M"/>
    <x v="174"/>
    <n v="21"/>
  </r>
  <r>
    <x v="5"/>
    <s v="TELHA GALVALUME OND 17 0,43MM 5,00M"/>
    <x v="174"/>
    <n v="15"/>
  </r>
  <r>
    <x v="8"/>
    <s v="TELHA GALVALUME OND 17 0,43MM 7,00M"/>
    <x v="174"/>
    <n v="8"/>
  </r>
  <r>
    <x v="0"/>
    <s v="TELHA GALVALUME TP 40 0,43MM"/>
    <x v="175"/>
    <n v="1056.24"/>
  </r>
  <r>
    <x v="15"/>
    <s v="TELHA GALVALUME OND 17 0,43MM"/>
    <x v="175"/>
    <n v="104"/>
  </r>
  <r>
    <x v="9"/>
    <s v="TELHA GALVALUME OND 17 0,43MM 3,00M"/>
    <x v="175"/>
    <n v="96"/>
  </r>
  <r>
    <x v="4"/>
    <s v="TELHA GALVALUME TP 40 0,43MM 5,00M"/>
    <x v="175"/>
    <n v="86"/>
  </r>
  <r>
    <x v="10"/>
    <s v="TELHA GALVALUME OND 17 0,43MM 6,00M"/>
    <x v="175"/>
    <n v="75"/>
  </r>
  <r>
    <x v="17"/>
    <s v="TELHA CUMEEIRA GL TRAP 40 ABAS 300MM"/>
    <x v="175"/>
    <n v="62"/>
  </r>
  <r>
    <x v="8"/>
    <s v="TELHA GALVALUME OND 17 0,43MM 7,00M"/>
    <x v="175"/>
    <n v="59"/>
  </r>
  <r>
    <x v="7"/>
    <s v="TELHA GALVALUME OND 17 0,43MM 4,00M"/>
    <x v="175"/>
    <n v="56"/>
  </r>
  <r>
    <x v="1"/>
    <s v="TELHA GALVALUME TP 40 0,43MM 4,00M"/>
    <x v="175"/>
    <n v="50"/>
  </r>
  <r>
    <x v="16"/>
    <s v="TELHA GALVALUME OND 17 0,43MM 8,00M"/>
    <x v="175"/>
    <n v="43"/>
  </r>
  <r>
    <x v="3"/>
    <s v="TELHA GALVALUME TP 40 0,43MM 3,00M"/>
    <x v="175"/>
    <n v="31"/>
  </r>
  <r>
    <x v="2"/>
    <s v="TELHA GALVALUME TP 40 0,43MM 6,00M"/>
    <x v="175"/>
    <n v="31"/>
  </r>
  <r>
    <x v="18"/>
    <s v="TELHA GALVALUME TP 40 0,43MM 8,00M"/>
    <x v="175"/>
    <n v="30"/>
  </r>
  <r>
    <x v="20"/>
    <s v="TELHA CUMEEIRA GL OND 17 ABAS 300MM"/>
    <x v="175"/>
    <n v="14"/>
  </r>
  <r>
    <x v="6"/>
    <s v="TELHA GALVALUME TP 40 0,43MM 7,00M"/>
    <x v="175"/>
    <n v="9"/>
  </r>
  <r>
    <x v="5"/>
    <s v="TELHA GALVALUME OND 17 0,43MM 5,00M"/>
    <x v="175"/>
    <n v="5"/>
  </r>
  <r>
    <x v="15"/>
    <s v="TELHA GALVALUME OND 17 0,43MM"/>
    <x v="176"/>
    <n v="191.5"/>
  </r>
  <r>
    <x v="0"/>
    <s v="TELHA GALVALUME TP 40 0,43MM"/>
    <x v="176"/>
    <n v="166.60000000000002"/>
  </r>
  <r>
    <x v="4"/>
    <s v="TELHA GALVALUME TP 40 0,43MM 5,00M"/>
    <x v="176"/>
    <n v="105"/>
  </r>
  <r>
    <x v="2"/>
    <s v="TELHA GALVALUME TP 40 0,43MM 6,00M"/>
    <x v="176"/>
    <n v="72"/>
  </r>
  <r>
    <x v="1"/>
    <s v="TELHA GALVALUME TP 40 0,43MM 4,00M"/>
    <x v="176"/>
    <n v="63"/>
  </r>
  <r>
    <x v="10"/>
    <s v="TELHA GALVALUME OND 17 0,43MM 6,00M"/>
    <x v="176"/>
    <n v="54"/>
  </r>
  <r>
    <x v="17"/>
    <s v="TELHA CUMEEIRA GL TRAP 40 ABAS 300MM"/>
    <x v="176"/>
    <n v="48"/>
  </r>
  <r>
    <x v="6"/>
    <s v="TELHA GALVALUME TP 40 0,43MM 7,00M"/>
    <x v="176"/>
    <n v="35"/>
  </r>
  <r>
    <x v="5"/>
    <s v="TELHA GALVALUME OND 17 0,43MM 5,00M"/>
    <x v="176"/>
    <n v="32"/>
  </r>
  <r>
    <x v="8"/>
    <s v="TELHA GALVALUME OND 17 0,43MM 7,00M"/>
    <x v="176"/>
    <n v="31"/>
  </r>
  <r>
    <x v="7"/>
    <s v="TELHA GALVALUME OND 17 0,43MM 4,00M"/>
    <x v="176"/>
    <n v="15"/>
  </r>
  <r>
    <x v="0"/>
    <s v="TELHA GALVALUME TP 40 0,43MM"/>
    <x v="177"/>
    <n v="1245"/>
  </r>
  <r>
    <x v="15"/>
    <s v="TELHA GALVALUME OND 17 0,43MM"/>
    <x v="177"/>
    <n v="257.39999999999998"/>
  </r>
  <r>
    <x v="4"/>
    <s v="TELHA GALVALUME TP 40 0,43MM 5,00M"/>
    <x v="177"/>
    <n v="249"/>
  </r>
  <r>
    <x v="1"/>
    <s v="TELHA GALVALUME TP 40 0,43MM 4,00M"/>
    <x v="177"/>
    <n v="199"/>
  </r>
  <r>
    <x v="2"/>
    <s v="TELHA GALVALUME TP 40 0,43MM 6,00M"/>
    <x v="177"/>
    <n v="188"/>
  </r>
  <r>
    <x v="17"/>
    <s v="TELHA CUMEEIRA GL TRAP 40 ABAS 300MM"/>
    <x v="177"/>
    <n v="58"/>
  </r>
  <r>
    <x v="9"/>
    <s v="TELHA GALVALUME OND 17 0,43MM 3,00M"/>
    <x v="177"/>
    <n v="41"/>
  </r>
  <r>
    <x v="6"/>
    <s v="TELHA GALVALUME TP 40 0,43MM 7,00M"/>
    <x v="177"/>
    <n v="36"/>
  </r>
  <r>
    <x v="18"/>
    <s v="TELHA GALVALUME TP 40 0,43MM 8,00M"/>
    <x v="177"/>
    <n v="34"/>
  </r>
  <r>
    <x v="3"/>
    <s v="TELHA GALVALUME TP 40 0,43MM 3,00M"/>
    <x v="177"/>
    <n v="33"/>
  </r>
  <r>
    <x v="7"/>
    <s v="TELHA GALVALUME OND 17 0,43MM 4,00M"/>
    <x v="177"/>
    <n v="14"/>
  </r>
  <r>
    <x v="10"/>
    <s v="TELHA GALVALUME OND 17 0,43MM 6,00M"/>
    <x v="177"/>
    <n v="4"/>
  </r>
  <r>
    <x v="0"/>
    <s v="TELHA GALVALUME TP 40 0,43MM"/>
    <x v="178"/>
    <n v="482.8"/>
  </r>
  <r>
    <x v="2"/>
    <s v="TELHA GALVALUME TP 40 0,43MM 6,00M"/>
    <x v="178"/>
    <n v="135"/>
  </r>
  <r>
    <x v="1"/>
    <s v="TELHA GALVALUME TP 40 0,43MM 4,00M"/>
    <x v="178"/>
    <n v="127"/>
  </r>
  <r>
    <x v="6"/>
    <s v="TELHA GALVALUME TP 40 0,43MM 7,00M"/>
    <x v="178"/>
    <n v="75"/>
  </r>
  <r>
    <x v="4"/>
    <s v="TELHA GALVALUME TP 40 0,43MM 5,00M"/>
    <x v="178"/>
    <n v="67"/>
  </r>
  <r>
    <x v="9"/>
    <s v="TELHA GALVALUME OND 17 0,43MM 3,00M"/>
    <x v="178"/>
    <n v="29"/>
  </r>
  <r>
    <x v="3"/>
    <s v="TELHA GALVALUME TP 40 0,43MM 3,00M"/>
    <x v="178"/>
    <n v="25"/>
  </r>
  <r>
    <x v="17"/>
    <s v="TELHA CUMEEIRA GL TRAP 40 ABAS 300MM"/>
    <x v="178"/>
    <n v="21"/>
  </r>
  <r>
    <x v="18"/>
    <s v="TELHA GALVALUME TP 40 0,43MM 8,00M"/>
    <x v="178"/>
    <n v="17"/>
  </r>
  <r>
    <x v="16"/>
    <s v="TELHA GALVALUME OND 17 0,43MM 8,00M"/>
    <x v="178"/>
    <n v="8"/>
  </r>
  <r>
    <x v="7"/>
    <s v="TELHA GALVALUME OND 17 0,43MM 4,00M"/>
    <x v="178"/>
    <n v="4"/>
  </r>
  <r>
    <x v="2"/>
    <s v="TELHA GALVALUME TP 40 0,43MM 6,00M"/>
    <x v="179"/>
    <n v="96"/>
  </r>
  <r>
    <x v="1"/>
    <s v="TELHA GALVALUME TP 40 0,43MM 4,00M"/>
    <x v="179"/>
    <n v="62"/>
  </r>
  <r>
    <x v="4"/>
    <s v="TELHA GALVALUME TP 40 0,43MM 5,00M"/>
    <x v="179"/>
    <n v="53"/>
  </r>
  <r>
    <x v="6"/>
    <s v="TELHA GALVALUME TP 40 0,43MM 7,00M"/>
    <x v="179"/>
    <n v="52"/>
  </r>
  <r>
    <x v="3"/>
    <s v="TELHA GALVALUME TP 40 0,43MM 3,00M"/>
    <x v="179"/>
    <n v="23"/>
  </r>
  <r>
    <x v="17"/>
    <s v="TELHA CUMEEIRA GL TRAP 40 ABAS 300MM"/>
    <x v="179"/>
    <n v="22"/>
  </r>
  <r>
    <x v="5"/>
    <s v="TELHA GALVALUME OND 17 0,43MM 5,00M"/>
    <x v="179"/>
    <n v="22"/>
  </r>
  <r>
    <x v="10"/>
    <s v="TELHA GALVALUME OND 17 0,43MM 6,00M"/>
    <x v="179"/>
    <n v="4"/>
  </r>
  <r>
    <x v="15"/>
    <s v="TELHA GALVALUME OND 17 0,43MM"/>
    <x v="180"/>
    <n v="481.2"/>
  </r>
  <r>
    <x v="0"/>
    <s v="TELHA GALVALUME TP 40 0,43MM"/>
    <x v="180"/>
    <n v="306"/>
  </r>
  <r>
    <x v="4"/>
    <s v="TELHA GALVALUME TP 40 0,43MM 5,00M"/>
    <x v="180"/>
    <n v="141"/>
  </r>
  <r>
    <x v="2"/>
    <s v="TELHA GALVALUME TP 40 0,43MM 6,00M"/>
    <x v="180"/>
    <n v="109"/>
  </r>
  <r>
    <x v="6"/>
    <s v="TELHA GALVALUME TP 40 0,43MM 7,00M"/>
    <x v="180"/>
    <n v="100"/>
  </r>
  <r>
    <x v="1"/>
    <s v="TELHA GALVALUME TP 40 0,43MM 4,00M"/>
    <x v="180"/>
    <n v="84"/>
  </r>
  <r>
    <x v="5"/>
    <s v="TELHA GALVALUME OND 17 0,43MM 5,00M"/>
    <x v="180"/>
    <n v="73"/>
  </r>
  <r>
    <x v="7"/>
    <s v="TELHA GALVALUME OND 17 0,43MM 4,00M"/>
    <x v="180"/>
    <n v="36"/>
  </r>
  <r>
    <x v="10"/>
    <s v="TELHA GALVALUME OND 17 0,43MM 6,00M"/>
    <x v="180"/>
    <n v="35"/>
  </r>
  <r>
    <x v="8"/>
    <s v="TELHA GALVALUME OND 17 0,43MM 7,00M"/>
    <x v="180"/>
    <n v="25"/>
  </r>
  <r>
    <x v="3"/>
    <s v="TELHA GALVALUME TP 40 0,43MM 3,00M"/>
    <x v="180"/>
    <n v="25"/>
  </r>
  <r>
    <x v="9"/>
    <s v="TELHA GALVALUME OND 17 0,43MM 3,00M"/>
    <x v="180"/>
    <n v="20"/>
  </r>
  <r>
    <x v="0"/>
    <s v="TELHA GALVALUME TP 40 0,43MM"/>
    <x v="181"/>
    <n v="577"/>
  </r>
  <r>
    <x v="15"/>
    <s v="TELHA GALVALUME OND 17 0,43MM"/>
    <x v="181"/>
    <n v="207.5"/>
  </r>
  <r>
    <x v="2"/>
    <s v="TELHA GALVALUME TP 40 0,43MM 6,00M"/>
    <x v="181"/>
    <n v="133"/>
  </r>
  <r>
    <x v="8"/>
    <s v="TELHA GALVALUME OND 17 0,43MM 7,00M"/>
    <x v="181"/>
    <n v="105"/>
  </r>
  <r>
    <x v="1"/>
    <s v="TELHA GALVALUME TP 40 0,43MM 4,00M"/>
    <x v="181"/>
    <n v="87"/>
  </r>
  <r>
    <x v="4"/>
    <s v="TELHA GALVALUME TP 40 0,43MM 5,00M"/>
    <x v="181"/>
    <n v="64"/>
  </r>
  <r>
    <x v="6"/>
    <s v="TELHA GALVALUME TP 40 0,43MM 7,00M"/>
    <x v="181"/>
    <n v="50"/>
  </r>
  <r>
    <x v="18"/>
    <s v="TELHA GALVALUME TP 40 0,43MM 8,00M"/>
    <x v="181"/>
    <n v="42"/>
  </r>
  <r>
    <x v="10"/>
    <s v="TELHA GALVALUME OND 17 0,43MM 6,00M"/>
    <x v="181"/>
    <n v="23"/>
  </r>
  <r>
    <x v="17"/>
    <s v="TELHA CUMEEIRA GL TRAP 40 ABAS 300MM"/>
    <x v="181"/>
    <n v="22"/>
  </r>
  <r>
    <x v="3"/>
    <s v="TELHA GALVALUME TP 40 0,43MM 3,00M"/>
    <x v="181"/>
    <n v="19"/>
  </r>
  <r>
    <x v="9"/>
    <s v="TELHA GALVALUME OND 17 0,43MM 3,00M"/>
    <x v="181"/>
    <n v="15"/>
  </r>
  <r>
    <x v="5"/>
    <s v="TELHA GALVALUME OND 17 0,43MM 5,00M"/>
    <x v="181"/>
    <n v="5"/>
  </r>
  <r>
    <x v="0"/>
    <s v="TELHA GALVALUME TP 40 0,43MM"/>
    <x v="182"/>
    <n v="337.4"/>
  </r>
  <r>
    <x v="2"/>
    <s v="TELHA GALVALUME TP 40 0,43MM 6,00M"/>
    <x v="182"/>
    <n v="125"/>
  </r>
  <r>
    <x v="1"/>
    <s v="TELHA GALVALUME TP 40 0,43MM 4,00M"/>
    <x v="182"/>
    <n v="94"/>
  </r>
  <r>
    <x v="4"/>
    <s v="TELHA GALVALUME TP 40 0,43MM 5,00M"/>
    <x v="182"/>
    <n v="71"/>
  </r>
  <r>
    <x v="3"/>
    <s v="TELHA GALVALUME TP 40 0,43MM 3,00M"/>
    <x v="182"/>
    <n v="35"/>
  </r>
  <r>
    <x v="6"/>
    <s v="TELHA GALVALUME TP 40 0,43MM 7,00M"/>
    <x v="182"/>
    <n v="32"/>
  </r>
  <r>
    <x v="17"/>
    <s v="TELHA CUMEEIRA GL TRAP 40 ABAS 300MM"/>
    <x v="182"/>
    <n v="30"/>
  </r>
  <r>
    <x v="18"/>
    <s v="TELHA GALVALUME TP 40 0,43MM 8,00M"/>
    <x v="182"/>
    <n v="9"/>
  </r>
  <r>
    <x v="0"/>
    <s v="TELHA GALVALUME TP 40 0,43MM"/>
    <x v="183"/>
    <n v="341.5"/>
  </r>
  <r>
    <x v="4"/>
    <s v="TELHA GALVALUME TP 40 0,43MM 5,00M"/>
    <x v="183"/>
    <n v="105"/>
  </r>
  <r>
    <x v="2"/>
    <s v="TELHA GALVALUME TP 40 0,43MM 6,00M"/>
    <x v="183"/>
    <n v="96"/>
  </r>
  <r>
    <x v="3"/>
    <s v="TELHA GALVALUME TP 40 0,43MM 3,00M"/>
    <x v="183"/>
    <n v="80"/>
  </r>
  <r>
    <x v="1"/>
    <s v="TELHA GALVALUME TP 40 0,43MM 4,00M"/>
    <x v="183"/>
    <n v="64"/>
  </r>
  <r>
    <x v="6"/>
    <s v="TELHA GALVALUME TP 40 0,43MM 7,00M"/>
    <x v="183"/>
    <n v="42"/>
  </r>
  <r>
    <x v="5"/>
    <s v="TELHA GALVALUME OND 17 0,43MM 5,00M"/>
    <x v="183"/>
    <n v="14"/>
  </r>
  <r>
    <x v="18"/>
    <s v="TELHA GALVALUME TP 40 0,43MM 8,00M"/>
    <x v="183"/>
    <n v="12"/>
  </r>
  <r>
    <x v="10"/>
    <s v="TELHA GALVALUME OND 17 0,43MM 6,00M"/>
    <x v="183"/>
    <n v="8"/>
  </r>
  <r>
    <x v="17"/>
    <s v="TELHA CUMEEIRA GL TRAP 40 ABAS 300MM"/>
    <x v="183"/>
    <n v="5"/>
  </r>
  <r>
    <x v="0"/>
    <s v="TELHA GALVALUME TP 40 0,43MM"/>
    <x v="184"/>
    <n v="205"/>
  </r>
  <r>
    <x v="2"/>
    <s v="TELHA GALVALUME TP 40 0,43MM 6,00M"/>
    <x v="184"/>
    <n v="166"/>
  </r>
  <r>
    <x v="4"/>
    <s v="TELHA GALVALUME TP 40 0,43MM 5,00M"/>
    <x v="184"/>
    <n v="91"/>
  </r>
  <r>
    <x v="1"/>
    <s v="TELHA GALVALUME TP 40 0,43MM 4,00M"/>
    <x v="184"/>
    <n v="63"/>
  </r>
  <r>
    <x v="6"/>
    <s v="TELHA GALVALUME TP 40 0,43MM 7,00M"/>
    <x v="184"/>
    <n v="46"/>
  </r>
  <r>
    <x v="8"/>
    <s v="TELHA GALVALUME OND 17 0,43MM 7,00M"/>
    <x v="184"/>
    <n v="36"/>
  </r>
  <r>
    <x v="3"/>
    <s v="TELHA GALVALUME TP 40 0,43MM 3,00M"/>
    <x v="184"/>
    <n v="24"/>
  </r>
  <r>
    <x v="10"/>
    <s v="TELHA GALVALUME OND 17 0,43MM 6,00M"/>
    <x v="184"/>
    <n v="17"/>
  </r>
  <r>
    <x v="18"/>
    <s v="TELHA GALVALUME TP 40 0,43MM 8,00M"/>
    <x v="184"/>
    <n v="8"/>
  </r>
  <r>
    <x v="0"/>
    <s v="TELHA GALVALUME TP 40 0,43MM"/>
    <x v="185"/>
    <n v="260.89999999999998"/>
  </r>
  <r>
    <x v="2"/>
    <s v="TELHA GALVALUME TP 40 0,43MM 6,00M"/>
    <x v="185"/>
    <n v="167"/>
  </r>
  <r>
    <x v="1"/>
    <s v="TELHA GALVALUME TP 40 0,43MM 4,00M"/>
    <x v="185"/>
    <n v="98"/>
  </r>
  <r>
    <x v="4"/>
    <s v="TELHA GALVALUME TP 40 0,43MM 5,00M"/>
    <x v="185"/>
    <n v="78"/>
  </r>
  <r>
    <x v="3"/>
    <s v="TELHA GALVALUME TP 40 0,43MM 3,00M"/>
    <x v="185"/>
    <n v="52"/>
  </r>
  <r>
    <x v="7"/>
    <s v="TELHA GALVALUME OND 17 0,43MM 4,00M"/>
    <x v="185"/>
    <n v="50"/>
  </r>
  <r>
    <x v="17"/>
    <s v="TELHA CUMEEIRA GL TRAP 40 ABAS 300MM"/>
    <x v="185"/>
    <n v="42"/>
  </r>
  <r>
    <x v="6"/>
    <s v="TELHA GALVALUME TP 40 0,43MM 7,00M"/>
    <x v="185"/>
    <n v="37"/>
  </r>
  <r>
    <x v="15"/>
    <s v="TELHA GALVALUME OND 17 0,43MM"/>
    <x v="185"/>
    <n v="35.1"/>
  </r>
  <r>
    <x v="9"/>
    <s v="TELHA GALVALUME OND 17 0,43MM 3,00M"/>
    <x v="185"/>
    <n v="25"/>
  </r>
  <r>
    <x v="5"/>
    <s v="TELHA GALVALUME OND 17 0,43MM 5,00M"/>
    <x v="185"/>
    <n v="16"/>
  </r>
  <r>
    <x v="18"/>
    <s v="TELHA GALVALUME TP 40 0,43MM 8,00M"/>
    <x v="185"/>
    <n v="14"/>
  </r>
  <r>
    <x v="20"/>
    <s v="TELHA CUMEEIRA GL OND 17 ABAS 300MM"/>
    <x v="185"/>
    <n v="7"/>
  </r>
  <r>
    <x v="0"/>
    <s v="TELHA GALVALUME TP 40 0,43MM"/>
    <x v="186"/>
    <n v="588.85"/>
  </r>
  <r>
    <x v="15"/>
    <s v="TELHA GALVALUME OND 17 0,43MM"/>
    <x v="186"/>
    <n v="160"/>
  </r>
  <r>
    <x v="1"/>
    <s v="TELHA GALVALUME TP 40 0,43MM 4,00M"/>
    <x v="186"/>
    <n v="122"/>
  </r>
  <r>
    <x v="2"/>
    <s v="TELHA GALVALUME TP 40 0,43MM 6,00M"/>
    <x v="186"/>
    <n v="109"/>
  </r>
  <r>
    <x v="7"/>
    <s v="TELHA GALVALUME OND 17 0,43MM 4,00M"/>
    <x v="186"/>
    <n v="67"/>
  </r>
  <r>
    <x v="10"/>
    <s v="TELHA GALVALUME OND 17 0,43MM 6,00M"/>
    <x v="186"/>
    <n v="59"/>
  </r>
  <r>
    <x v="5"/>
    <s v="TELHA GALVALUME OND 17 0,43MM 5,00M"/>
    <x v="186"/>
    <n v="52"/>
  </r>
  <r>
    <x v="3"/>
    <s v="TELHA GALVALUME TP 40 0,43MM 3,00M"/>
    <x v="186"/>
    <n v="52"/>
  </r>
  <r>
    <x v="4"/>
    <s v="TELHA GALVALUME TP 40 0,43MM 5,00M"/>
    <x v="186"/>
    <n v="49"/>
  </r>
  <r>
    <x v="17"/>
    <s v="TELHA CUMEEIRA GL TRAP 40 ABAS 300MM"/>
    <x v="186"/>
    <n v="31"/>
  </r>
  <r>
    <x v="8"/>
    <s v="TELHA GALVALUME OND 17 0,43MM 7,00M"/>
    <x v="186"/>
    <n v="28"/>
  </r>
  <r>
    <x v="18"/>
    <s v="TELHA GALVALUME TP 40 0,43MM 8,00M"/>
    <x v="186"/>
    <n v="16"/>
  </r>
  <r>
    <x v="9"/>
    <s v="TELHA GALVALUME OND 17 0,43MM 3,00M"/>
    <x v="186"/>
    <n v="14"/>
  </r>
  <r>
    <x v="6"/>
    <s v="TELHA GALVALUME TP 40 0,43MM 7,00M"/>
    <x v="186"/>
    <n v="3"/>
  </r>
  <r>
    <x v="0"/>
    <s v="TELHA GALVALUME TP 40 0,43MM"/>
    <x v="187"/>
    <n v="353"/>
  </r>
  <r>
    <x v="4"/>
    <s v="TELHA GALVALUME TP 40 0,43MM 5,00M"/>
    <x v="187"/>
    <n v="164"/>
  </r>
  <r>
    <x v="2"/>
    <s v="TELHA GALVALUME TP 40 0,43MM 6,00M"/>
    <x v="187"/>
    <n v="106"/>
  </r>
  <r>
    <x v="1"/>
    <s v="TELHA GALVALUME TP 40 0,43MM 4,00M"/>
    <x v="187"/>
    <n v="93"/>
  </r>
  <r>
    <x v="6"/>
    <s v="TELHA GALVALUME TP 40 0,43MM 7,00M"/>
    <x v="187"/>
    <n v="83"/>
  </r>
  <r>
    <x v="15"/>
    <s v="TELHA GALVALUME OND 17 0,43MM"/>
    <x v="187"/>
    <n v="78.2"/>
  </r>
  <r>
    <x v="3"/>
    <s v="TELHA GALVALUME TP 40 0,43MM 3,00M"/>
    <x v="187"/>
    <n v="57"/>
  </r>
  <r>
    <x v="8"/>
    <s v="TELHA GALVALUME OND 17 0,43MM 7,00M"/>
    <x v="187"/>
    <n v="56"/>
  </r>
  <r>
    <x v="9"/>
    <s v="TELHA GALVALUME OND 17 0,43MM 3,00M"/>
    <x v="187"/>
    <n v="36"/>
  </r>
  <r>
    <x v="7"/>
    <s v="TELHA GALVALUME OND 17 0,43MM 4,00M"/>
    <x v="187"/>
    <n v="10"/>
  </r>
  <r>
    <x v="5"/>
    <s v="TELHA GALVALUME OND 17 0,43MM 5,00M"/>
    <x v="187"/>
    <n v="9"/>
  </r>
  <r>
    <x v="10"/>
    <s v="TELHA GALVALUME OND 17 0,43MM 6,00M"/>
    <x v="187"/>
    <n v="4"/>
  </r>
  <r>
    <x v="0"/>
    <s v="TELHA GALVALUME TP 40 0,43MM"/>
    <x v="188"/>
    <n v="1489.7999999999997"/>
  </r>
  <r>
    <x v="15"/>
    <s v="TELHA GALVALUME OND 17 0,43MM"/>
    <x v="188"/>
    <n v="304.8"/>
  </r>
  <r>
    <x v="2"/>
    <s v="TELHA GALVALUME TP 40 0,43MM 6,00M"/>
    <x v="188"/>
    <n v="124"/>
  </r>
  <r>
    <x v="1"/>
    <s v="TELHA GALVALUME TP 40 0,43MM 4,00M"/>
    <x v="188"/>
    <n v="83"/>
  </r>
  <r>
    <x v="18"/>
    <s v="TELHA GALVALUME TP 40 0,43MM 8,00M"/>
    <x v="188"/>
    <n v="73"/>
  </r>
  <r>
    <x v="5"/>
    <s v="TELHA GALVALUME OND 17 0,43MM 5,00M"/>
    <x v="188"/>
    <n v="72"/>
  </r>
  <r>
    <x v="6"/>
    <s v="TELHA GALVALUME TP 40 0,43MM 7,00M"/>
    <x v="188"/>
    <n v="70"/>
  </r>
  <r>
    <x v="4"/>
    <s v="TELHA GALVALUME TP 40 0,43MM 5,00M"/>
    <x v="188"/>
    <n v="63"/>
  </r>
  <r>
    <x v="17"/>
    <s v="TELHA CUMEEIRA GL TRAP 40 ABAS 300MM"/>
    <x v="188"/>
    <n v="52"/>
  </r>
  <r>
    <x v="7"/>
    <s v="TELHA GALVALUME OND 17 0,43MM 4,00M"/>
    <x v="188"/>
    <n v="49"/>
  </r>
  <r>
    <x v="3"/>
    <s v="TELHA GALVALUME TP 40 0,43MM 3,00M"/>
    <x v="188"/>
    <n v="31"/>
  </r>
  <r>
    <x v="16"/>
    <s v="TELHA GALVALUME OND 17 0,43MM 8,00M"/>
    <x v="188"/>
    <n v="30"/>
  </r>
  <r>
    <x v="8"/>
    <s v="TELHA GALVALUME OND 17 0,43MM 7,00M"/>
    <x v="188"/>
    <n v="23"/>
  </r>
  <r>
    <x v="10"/>
    <s v="TELHA GALVALUME OND 17 0,43MM 6,00M"/>
    <x v="188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utoFormatId="1" applyNumberFormats="0" applyBorderFormats="0" applyFontFormats="0" applyPatternFormats="0" applyAlignmentFormats="0" applyWidthHeightFormats="1" dataCaption="Valores" updatedVersion="8" minRefreshableVersion="3" createdVersion="8" rowGrandTotals="0" colGrandTotals="0" indent="0" outline="1" outlineData="1" showDrill="1" multipleFieldFilters="0" rowHeaderCaption="Data ">
  <location ref="E7:F194" firstHeaderRow="1" firstDataRow="1" firstDataCol="1" rowPageCount="1" colPageCount="1"/>
  <pivotFields count="4">
    <pivotField axis="axisPage" showAll="0">
      <items count="1060">
        <item m="1" x="161"/>
        <item m="1" x="176"/>
        <item m="1" x="488"/>
        <item m="1" x="420"/>
        <item m="1" x="252"/>
        <item m="1" x="656"/>
        <item m="1" x="463"/>
        <item m="1" x="212"/>
        <item m="1" x="485"/>
        <item m="1" x="929"/>
        <item m="1" x="238"/>
        <item m="1" x="698"/>
        <item m="1" x="1026"/>
        <item m="1" x="601"/>
        <item m="1" x="429"/>
        <item m="1" x="487"/>
        <item m="1" x="66"/>
        <item m="1" x="63"/>
        <item m="1" x="175"/>
        <item m="1" x="385"/>
        <item m="1" x="830"/>
        <item m="1" x="41"/>
        <item m="1" x="69"/>
        <item m="1" x="555"/>
        <item m="1" x="85"/>
        <item m="1" x="254"/>
        <item m="1" x="116"/>
        <item m="1" x="527"/>
        <item m="1" x="553"/>
        <item m="1" x="810"/>
        <item m="1" x="203"/>
        <item m="1" x="177"/>
        <item m="1" x="554"/>
        <item m="1" x="730"/>
        <item m="1" x="780"/>
        <item m="1" x="398"/>
        <item m="1" x="770"/>
        <item m="1" x="552"/>
        <item m="1" x="831"/>
        <item m="1" x="109"/>
        <item m="1" x="217"/>
        <item m="1" x="343"/>
        <item m="1" x="285"/>
        <item m="1" x="500"/>
        <item m="1" x="967"/>
        <item m="1" x="928"/>
        <item m="1" x="1022"/>
        <item m="1" x="231"/>
        <item m="1" x="455"/>
        <item m="1" x="606"/>
        <item m="1" x="864"/>
        <item m="1" x="856"/>
        <item m="1" x="779"/>
        <item m="1" x="885"/>
        <item m="1" x="969"/>
        <item m="1" x="596"/>
        <item m="1" x="822"/>
        <item m="1" x="989"/>
        <item m="1" x="1025"/>
        <item m="1" x="629"/>
        <item m="1" x="902"/>
        <item m="1" x="100"/>
        <item m="1" x="70"/>
        <item m="1" x="234"/>
        <item m="1" x="168"/>
        <item m="1" x="633"/>
        <item m="1" x="737"/>
        <item m="1" x="83"/>
        <item m="1" x="649"/>
        <item m="1" x="123"/>
        <item m="1" x="244"/>
        <item m="1" x="160"/>
        <item m="1" x="91"/>
        <item m="1" x="551"/>
        <item m="1" x="903"/>
        <item m="1" x="1047"/>
        <item m="1" x="469"/>
        <item m="1" x="946"/>
        <item m="1" x="303"/>
        <item m="1" x="357"/>
        <item m="1" x="421"/>
        <item m="1" x="232"/>
        <item m="1" x="514"/>
        <item m="1" x="338"/>
        <item m="1" x="390"/>
        <item m="1" x="680"/>
        <item m="1" x="647"/>
        <item m="1" x="752"/>
        <item m="1" x="462"/>
        <item m="1" x="388"/>
        <item m="1" x="568"/>
        <item m="1" x="657"/>
        <item m="1" x="740"/>
        <item m="1" x="604"/>
        <item m="1" x="543"/>
        <item m="1" x="1024"/>
        <item m="1" x="968"/>
        <item m="1" x="908"/>
        <item m="1" x="855"/>
        <item m="1" x="992"/>
        <item m="1" x="942"/>
        <item m="1" x="841"/>
        <item m="1" x="990"/>
        <item m="1" x="904"/>
        <item m="1" x="991"/>
        <item m="1" x="988"/>
        <item m="1" x="941"/>
        <item m="1" x="301"/>
        <item m="1" x="395"/>
        <item m="1" x="726"/>
        <item m="1" x="818"/>
        <item m="1" x="865"/>
        <item m="1" x="721"/>
        <item m="1" x="838"/>
        <item m="1" x="757"/>
        <item m="1" x="873"/>
        <item m="1" x="209"/>
        <item m="1" x="194"/>
        <item m="1" x="422"/>
        <item m="1" x="124"/>
        <item m="1" x="110"/>
        <item m="1" x="430"/>
        <item m="1" x="239"/>
        <item m="1" x="46"/>
        <item m="1" x="106"/>
        <item m="1" x="86"/>
        <item m="1" x="45"/>
        <item m="1" x="222"/>
        <item m="1" x="324"/>
        <item m="1" x="266"/>
        <item m="1" x="190"/>
        <item m="1" x="52"/>
        <item m="1" x="352"/>
        <item m="1" x="344"/>
        <item m="1" x="68"/>
        <item m="1" x="184"/>
        <item m="1" x="642"/>
        <item m="1" x="185"/>
        <item m="1" x="219"/>
        <item m="1" x="393"/>
        <item m="1" x="333"/>
        <item m="1" x="489"/>
        <item m="1" x="275"/>
        <item m="1" x="89"/>
        <item m="1" x="196"/>
        <item m="1" x="247"/>
        <item m="1" x="287"/>
        <item m="1" x="283"/>
        <item m="1" x="117"/>
        <item m="1" x="502"/>
        <item m="1" x="449"/>
        <item m="1" x="607"/>
        <item m="1" x="268"/>
        <item m="1" x="314"/>
        <item m="1" x="320"/>
        <item m="1" x="255"/>
        <item m="1" x="760"/>
        <item m="1" x="521"/>
        <item m="1" x="284"/>
        <item m="1" x="290"/>
        <item m="1" x="341"/>
        <item m="1" x="315"/>
        <item m="1" x="736"/>
        <item m="1" x="465"/>
        <item m="1" x="259"/>
        <item m="1" x="105"/>
        <item m="1" x="681"/>
        <item m="1" x="104"/>
        <item m="1" x="53"/>
        <item m="1" x="29"/>
        <item m="1" x="155"/>
        <item m="1" x="269"/>
        <item m="1" x="103"/>
        <item m="1" x="31"/>
        <item m="1" x="382"/>
        <item m="1" x="241"/>
        <item m="1" x="95"/>
        <item m="1" x="372"/>
        <item m="1" x="416"/>
        <item m="1" x="75"/>
        <item m="1" x="397"/>
        <item m="1" x="40"/>
        <item m="1" x="170"/>
        <item m="1" x="221"/>
        <item m="1" x="253"/>
        <item m="1" x="37"/>
        <item m="1" x="581"/>
        <item m="1" x="180"/>
        <item m="1" x="355"/>
        <item m="1" x="832"/>
        <item m="1" x="364"/>
        <item m="1" x="210"/>
        <item m="1" x="149"/>
        <item m="1" x="92"/>
        <item m="1" x="140"/>
        <item m="1" x="305"/>
        <item m="1" x="213"/>
        <item m="1" x="171"/>
        <item m="1" x="115"/>
        <item m="1" x="144"/>
        <item m="1" x="592"/>
        <item m="1" x="278"/>
        <item m="1" x="512"/>
        <item m="1" x="132"/>
        <item m="1" x="77"/>
        <item m="1" x="146"/>
        <item m="1" x="125"/>
        <item m="1" x="76"/>
        <item m="1" x="156"/>
        <item m="1" x="396"/>
        <item m="1" x="628"/>
        <item m="1" x="766"/>
        <item m="1" x="477"/>
        <item m="1" x="795"/>
        <item m="1" x="594"/>
        <item m="1" x="541"/>
        <item m="1" x="700"/>
        <item m="1" x="858"/>
        <item m="1" x="987"/>
        <item m="1" x="872"/>
        <item m="1" x="622"/>
        <item m="1" x="93"/>
        <item m="1" x="614"/>
        <item m="1" x="725"/>
        <item m="1" x="264"/>
        <item m="1" x="623"/>
        <item m="1" x="457"/>
        <item m="1" x="550"/>
        <item m="1" x="768"/>
        <item m="1" x="50"/>
        <item m="1" x="492"/>
        <item m="1" x="200"/>
        <item m="1" x="158"/>
        <item m="1" x="826"/>
        <item m="1" x="679"/>
        <item m="1" x="237"/>
        <item m="1" x="572"/>
        <item m="1" x="272"/>
        <item m="1" x="720"/>
        <item m="1" x="322"/>
        <item m="1" x="827"/>
        <item m="1" x="765"/>
        <item m="1" x="482"/>
        <item m="1" x="159"/>
        <item m="1" x="828"/>
        <item m="1" x="876"/>
        <item m="1" x="939"/>
        <item m="1" x="318"/>
        <item m="1" x="331"/>
        <item m="1" x="401"/>
        <item m="1" x="250"/>
        <item m="1" x="164"/>
        <item m="1" x="399"/>
        <item m="1" x="438"/>
        <item m="1" x="363"/>
        <item m="1" x="51"/>
        <item m="1" x="293"/>
        <item m="1" x="230"/>
        <item m="1" x="533"/>
        <item m="1" x="308"/>
        <item m="1" x="471"/>
        <item m="1" x="402"/>
        <item m="1" x="298"/>
        <item m="1" x="522"/>
        <item m="1" x="494"/>
        <item m="1" x="369"/>
        <item m="1" x="545"/>
        <item m="1" x="448"/>
        <item m="1" x="381"/>
        <item m="1" x="360"/>
        <item m="1" x="423"/>
        <item m="1" x="299"/>
        <item m="1" x="862"/>
        <item m="1" x="367"/>
        <item m="1" x="445"/>
        <item m="1" x="544"/>
        <item m="1" x="347"/>
        <item m="1" x="436"/>
        <item m="1" x="705"/>
        <item m="1" x="589"/>
        <item m="1" x="434"/>
        <item m="1" x="699"/>
        <item m="1" x="745"/>
        <item m="1" x="561"/>
        <item m="1" x="503"/>
        <item m="1" x="493"/>
        <item m="1" x="408"/>
        <item m="1" x="731"/>
        <item m="1" x="451"/>
        <item m="1" x="672"/>
        <item m="1" x="57"/>
        <item m="1" x="442"/>
        <item m="1" x="137"/>
        <item m="1" x="793"/>
        <item m="1" x="263"/>
        <item m="1" x="507"/>
        <item m="1" x="224"/>
        <item m="1" x="329"/>
        <item m="1" x="265"/>
        <item m="1" x="215"/>
        <item m="1" x="319"/>
        <item m="1" x="327"/>
        <item m="1" x="588"/>
        <item m="1" x="557"/>
        <item m="1" x="825"/>
        <item m="1" x="405"/>
        <item m="1" x="515"/>
        <item m="1" x="821"/>
        <item m="1" x="618"/>
        <item m="1" x="497"/>
        <item m="1" x="959"/>
        <item m="1" x="615"/>
        <item m="1" x="475"/>
        <item m="1" x="536"/>
        <item m="1" x="418"/>
        <item m="1" x="571"/>
        <item m="1" x="456"/>
        <item m="1" x="99"/>
        <item m="1" x="321"/>
        <item m="1" x="108"/>
        <item m="1" x="370"/>
        <item m="1" x="348"/>
        <item m="1" x="359"/>
        <item m="1" x="678"/>
        <item m="1" x="677"/>
        <item m="1" x="676"/>
        <item m="1" x="391"/>
        <item m="1" x="292"/>
        <item m="1" x="484"/>
        <item m="1" x="248"/>
        <item m="1" x="78"/>
        <item m="1" x="114"/>
        <item m="1" x="202"/>
        <item m="1" x="354"/>
        <item m="1" x="148"/>
        <item m="1" x="97"/>
        <item m="1" x="260"/>
        <item m="1" x="375"/>
        <item m="1" x="415"/>
        <item m="1" x="129"/>
        <item m="1" x="262"/>
        <item m="1" x="325"/>
        <item m="1" x="223"/>
        <item m="1" x="131"/>
        <item m="1" x="60"/>
        <item m="1" x="675"/>
        <item m="1" x="126"/>
        <item m="1" x="379"/>
        <item m="1" x="310"/>
        <item m="1" x="59"/>
        <item m="1" x="191"/>
        <item m="1" x="246"/>
        <item m="1" x="706"/>
        <item m="1" x="304"/>
        <item m="1" x="55"/>
        <item m="1" x="193"/>
        <item m="1" x="460"/>
        <item m="1" x="182"/>
        <item m="1" x="519"/>
        <item m="1" x="317"/>
        <item m="1" x="741"/>
        <item m="1" x="386"/>
        <item m="1" x="274"/>
        <item m="1" x="508"/>
        <item m="1" x="907"/>
        <item m="1" x="890"/>
        <item m="1" x="889"/>
        <item m="1" x="891"/>
        <item m="1" x="938"/>
        <item m="1" x="1038"/>
        <item m="1" x="1042"/>
        <item m="1" x="1040"/>
        <item m="1" x="1043"/>
        <item m="1" x="1041"/>
        <item m="1" x="509"/>
        <item m="1" x="441"/>
        <item m="1" x="682"/>
        <item m="1" x="389"/>
        <item m="1" x="342"/>
        <item m="1" x="631"/>
        <item m="1" x="245"/>
        <item m="1" x="433"/>
        <item m="1" x="353"/>
        <item m="1" x="703"/>
        <item m="1" x="328"/>
        <item m="1" x="378"/>
        <item m="1" x="279"/>
        <item m="1" x="206"/>
        <item m="1" x="120"/>
        <item m="1" x="251"/>
        <item m="1" x="437"/>
        <item m="1" x="819"/>
        <item m="1" x="511"/>
        <item m="1" x="608"/>
        <item m="1" x="240"/>
        <item m="1" x="302"/>
        <item m="1" x="286"/>
        <item m="1" x="525"/>
        <item m="1" x="577"/>
        <item m="1" x="404"/>
        <item m="1" x="644"/>
        <item m="1" x="187"/>
        <item m="1" x="270"/>
        <item m="1" x="136"/>
        <item m="1" x="349"/>
        <item m="1" x="524"/>
        <item m="1" x="205"/>
        <item m="1" x="291"/>
        <item m="1" x="142"/>
        <item m="1" x="181"/>
        <item m="1" x="432"/>
        <item m="1" x="531"/>
        <item m="1" x="226"/>
        <item m="1" x="528"/>
        <item m="1" x="186"/>
        <item m="1" x="311"/>
        <item m="1" x="198"/>
        <item m="1" x="510"/>
        <item m="1" x="609"/>
        <item m="1" x="330"/>
        <item m="1" x="450"/>
        <item m="1" x="473"/>
        <item m="1" x="233"/>
        <item m="1" x="750"/>
        <item m="1" x="640"/>
        <item m="1" x="496"/>
        <item m="1" x="313"/>
        <item m="1" x="538"/>
        <item m="1" x="1039"/>
        <item m="1" x="924"/>
        <item m="1" x="829"/>
        <item m="1" x="853"/>
        <item m="1" x="747"/>
        <item m="1" x="837"/>
        <item m="1" x="859"/>
        <item m="1" x="871"/>
        <item m="1" x="857"/>
        <item m="1" x="183"/>
        <item m="1" x="214"/>
        <item m="1" x="452"/>
        <item m="1" x="560"/>
        <item m="1" x="479"/>
        <item m="1" x="805"/>
        <item m="1" x="61"/>
        <item m="1" x="157"/>
        <item m="1" x="54"/>
        <item m="1" x="280"/>
        <item m="1" x="87"/>
        <item m="1" x="145"/>
        <item m="1" x="282"/>
        <item m="1" x="340"/>
        <item m="1" x="638"/>
        <item m="1" x="419"/>
        <item m="1" x="913"/>
        <item m="1" x="362"/>
        <item m="1" x="127"/>
        <item m="1" x="243"/>
        <item m="1" x="424"/>
        <item m="1" x="277"/>
        <item m="1" x="806"/>
        <item m="1" x="143"/>
        <item m="1" x="383"/>
        <item m="1" x="582"/>
        <item m="1" x="358"/>
        <item m="1" x="576"/>
        <item m="1" x="495"/>
        <item m="1" x="166"/>
        <item m="1" x="227"/>
        <item m="1" x="417"/>
        <item m="1" x="458"/>
        <item m="1" x="400"/>
        <item m="1" x="307"/>
        <item m="1" x="201"/>
        <item m="1" x="271"/>
        <item m="1" x="118"/>
        <item m="1" x="229"/>
        <item m="1" x="242"/>
        <item m="1" x="133"/>
        <item m="1" x="394"/>
        <item m="1" x="195"/>
        <item m="1" x="102"/>
        <item m="1" x="94"/>
        <item m="1" x="220"/>
        <item m="1" x="47"/>
        <item m="1" x="192"/>
        <item m="1" x="261"/>
        <item m="1" x="147"/>
        <item m="1" x="444"/>
        <item m="1" x="332"/>
        <item m="1" x="439"/>
        <item m="1" x="163"/>
        <item m="1" x="374"/>
        <item m="1" x="435"/>
        <item m="1" x="392"/>
        <item m="1" x="56"/>
        <item m="1" x="257"/>
        <item m="1" x="49"/>
        <item m="1" x="101"/>
        <item m="1" x="228"/>
        <item m="1" x="297"/>
        <item m="1" x="113"/>
        <item m="1" x="345"/>
        <item m="1" x="154"/>
        <item m="1" x="189"/>
        <item m="1" x="273"/>
        <item m="1" x="529"/>
        <item m="1" x="174"/>
        <item m="1" x="249"/>
        <item m="1" x="225"/>
        <item m="1" x="208"/>
        <item m="1" x="403"/>
        <item m="1" x="179"/>
        <item m="1" x="199"/>
        <item m="1" x="150"/>
        <item m="1" x="169"/>
        <item m="1" x="346"/>
        <item m="1" x="173"/>
        <item m="1" x="216"/>
        <item m="1" x="791"/>
        <item m="1" x="377"/>
        <item m="1" x="42"/>
        <item m="1" x="35"/>
        <item m="1" x="107"/>
        <item m="1" x="38"/>
        <item m="1" x="96"/>
        <item m="1" x="32"/>
        <item m="1" x="39"/>
        <item m="1" x="80"/>
        <item m="1" x="84"/>
        <item m="1" x="27"/>
        <item m="1" x="30"/>
        <item m="1" x="162"/>
        <item m="1" x="984"/>
        <item m="1" x="1002"/>
        <item m="1" x="1033"/>
        <item m="1" x="965"/>
        <item m="1" x="983"/>
        <item m="1" x="520"/>
        <item m="1" x="1017"/>
        <item m="1" x="934"/>
        <item m="1" x="1001"/>
        <item m="1" x="1021"/>
        <item m="1" x="498"/>
        <item x="0"/>
        <item x="3"/>
        <item x="1"/>
        <item x="4"/>
        <item x="2"/>
        <item x="6"/>
        <item x="18"/>
        <item x="15"/>
        <item x="9"/>
        <item x="7"/>
        <item x="5"/>
        <item x="10"/>
        <item x="8"/>
        <item x="16"/>
        <item x="17"/>
        <item x="20"/>
        <item m="1" x="207"/>
        <item m="1" x="556"/>
        <item m="1" x="476"/>
        <item m="1" x="595"/>
        <item m="1" x="600"/>
        <item m="1" x="598"/>
        <item m="1" x="426"/>
        <item m="1" x="735"/>
        <item m="1" x="758"/>
        <item m="1" x="546"/>
        <item m="1" x="350"/>
        <item m="1" x="669"/>
        <item m="1" x="501"/>
        <item m="1" x="693"/>
        <item m="1" x="1035"/>
        <item m="1" x="717"/>
        <item m="1" x="785"/>
        <item m="1" x="817"/>
        <item m="1" x="719"/>
        <item m="1" x="674"/>
        <item m="1" x="956"/>
        <item m="1" x="803"/>
        <item m="1" x="937"/>
        <item m="1" x="911"/>
        <item m="1" x="980"/>
        <item m="1" x="1006"/>
        <item m="1" x="326"/>
        <item m="1" x="71"/>
        <item m="1" x="413"/>
        <item m="1" x="481"/>
        <item m="1" x="802"/>
        <item m="1" x="645"/>
        <item m="1" x="854"/>
        <item m="1" x="985"/>
        <item m="1" x="966"/>
        <item m="1" x="986"/>
        <item m="1" x="1019"/>
        <item m="1" x="646"/>
        <item m="1" x="888"/>
        <item m="1" x="955"/>
        <item m="1" x="696"/>
        <item m="1" x="712"/>
        <item m="1" x="1037"/>
        <item m="1" x="848"/>
        <item m="1" x="1018"/>
        <item m="1" x="711"/>
        <item m="1" x="954"/>
        <item m="1" x="981"/>
        <item m="1" x="697"/>
        <item m="1" x="534"/>
        <item m="1" x="518"/>
        <item m="1" x="718"/>
        <item m="1" x="836"/>
        <item m="1" x="486"/>
        <item m="1" x="575"/>
        <item m="1" x="625"/>
        <item m="1" x="852"/>
        <item m="1" x="480"/>
        <item m="1" x="654"/>
        <item m="1" x="786"/>
        <item m="1" x="982"/>
        <item m="1" x="883"/>
        <item m="1" x="549"/>
        <item m="1" x="932"/>
        <item m="1" x="764"/>
        <item m="1" x="665"/>
        <item m="1" x="769"/>
        <item m="1" x="777"/>
        <item m="1" x="901"/>
        <item m="1" x="599"/>
        <item m="1" x="652"/>
        <item m="1" x="776"/>
        <item m="1" x="724"/>
        <item m="1" x="767"/>
        <item m="1" x="707"/>
        <item m="1" x="898"/>
        <item m="1" x="906"/>
        <item m="1" x="798"/>
        <item m="1" x="834"/>
        <item m="1" x="899"/>
        <item m="1" x="98"/>
        <item m="1" x="453"/>
        <item m="1" x="58"/>
        <item m="1" x="428"/>
        <item m="1" x="197"/>
        <item m="1" x="491"/>
        <item m="1" x="530"/>
        <item m="1" x="537"/>
        <item m="1" x="296"/>
        <item m="1" x="365"/>
        <item m="1" x="671"/>
        <item m="1" x="794"/>
        <item m="1" x="36"/>
        <item m="1" x="119"/>
        <item m="1" x="443"/>
        <item m="1" x="135"/>
        <item m="1" x="406"/>
        <item m="1" x="849"/>
        <item m="1" x="663"/>
        <item m="1" x="65"/>
        <item m="1" x="923"/>
        <item m="1" x="771"/>
        <item m="1" x="79"/>
        <item m="1" x="627"/>
        <item m="1" x="685"/>
        <item m="1" x="835"/>
        <item m="1" x="648"/>
        <item m="1" x="617"/>
        <item m="1" x="772"/>
        <item m="1" x="688"/>
        <item m="1" x="953"/>
        <item m="1" x="927"/>
        <item m="1" x="884"/>
        <item m="1" x="1020"/>
        <item m="1" x="639"/>
        <item m="1" x="840"/>
        <item m="1" x="728"/>
        <item m="1" x="692"/>
        <item m="1" x="957"/>
        <item m="1" x="1036"/>
        <item m="1" x="1005"/>
        <item m="1" x="958"/>
        <item m="1" x="763"/>
        <item m="1" x="1003"/>
        <item m="1" x="626"/>
        <item m="1" x="620"/>
        <item m="1" x="1032"/>
        <item m="1" x="112"/>
        <item m="1" x="152"/>
        <item m="1" x="847"/>
        <item m="1" x="748"/>
        <item m="1" x="900"/>
        <item m="1" x="655"/>
        <item m="1" x="896"/>
        <item m="1" x="516"/>
        <item m="1" x="813"/>
        <item m="1" x="612"/>
        <item m="1" x="24"/>
        <item m="1" x="138"/>
        <item m="1" x="356"/>
        <item m="1" x="804"/>
        <item m="1" x="610"/>
        <item m="1" x="373"/>
        <item m="1" x="670"/>
        <item m="1" x="376"/>
        <item m="1" x="1016"/>
        <item m="1" x="739"/>
        <item m="1" x="689"/>
        <item m="1" x="1034"/>
        <item m="1" x="734"/>
        <item m="1" x="756"/>
        <item m="1" x="1004"/>
        <item m="1" x="783"/>
        <item m="1" x="870"/>
        <item m="1" x="570"/>
        <item m="1" x="887"/>
        <item m="1" x="691"/>
        <item m="1" x="673"/>
        <item m="1" x="660"/>
        <item m="1" x="869"/>
        <item m="1" x="912"/>
        <item m="1" x="952"/>
        <item m="1" x="585"/>
        <item m="1" x="897"/>
        <item m="1" x="664"/>
        <item m="1" x="593"/>
        <item m="1" x="842"/>
        <item m="1" x="971"/>
        <item m="1" x="866"/>
        <item m="1" x="909"/>
        <item m="1" x="727"/>
        <item m="1" x="584"/>
        <item m="1" x="815"/>
        <item m="1" x="999"/>
        <item m="1" x="976"/>
        <item m="1" x="886"/>
        <item m="1" x="878"/>
        <item m="1" x="882"/>
        <item m="1" x="936"/>
        <item m="1" x="919"/>
        <item m="1" x="944"/>
        <item m="1" x="1013"/>
        <item m="1" x="974"/>
        <item m="1" x="922"/>
        <item m="1" x="917"/>
        <item m="1" x="407"/>
        <item m="1" x="634"/>
        <item m="1" x="775"/>
        <item m="1" x="844"/>
        <item m="1" x="548"/>
        <item m="1" x="410"/>
        <item m="1" x="950"/>
        <item m="1" x="1011"/>
        <item m="1" x="875"/>
        <item m="1" x="846"/>
        <item m="1" x="977"/>
        <item m="1" x="742"/>
        <item m="1" x="801"/>
        <item m="1" x="963"/>
        <item m="1" x="978"/>
        <item m="1" x="895"/>
        <item m="1" x="800"/>
        <item m="1" x="715"/>
        <item m="1" x="446"/>
        <item m="1" x="151"/>
        <item m="1" x="591"/>
        <item m="1" x="945"/>
        <item m="1" x="755"/>
        <item m="1" x="630"/>
        <item m="1" x="948"/>
        <item m="1" x="288"/>
        <item m="1" x="651"/>
        <item m="1" x="850"/>
        <item m="1" x="637"/>
        <item m="1" x="526"/>
        <item m="1" x="972"/>
        <item m="1" x="687"/>
        <item m="1" x="970"/>
        <item m="1" x="583"/>
        <item m="1" x="636"/>
        <item m="1" x="743"/>
        <item m="1" x="334"/>
        <item m="1" x="710"/>
        <item m="1" x="926"/>
        <item m="1" x="892"/>
        <item m="1" x="235"/>
        <item m="1" x="289"/>
        <item m="1" x="973"/>
        <item m="1" x="851"/>
        <item m="1" x="499"/>
        <item m="1" x="468"/>
        <item m="1" x="746"/>
        <item m="1" x="547"/>
        <item m="1" x="893"/>
        <item m="1" x="650"/>
        <item m="1" x="658"/>
        <item m="1" x="578"/>
        <item m="1" x="823"/>
        <item m="1" x="877"/>
        <item m="1" x="267"/>
        <item m="1" x="62"/>
        <item m="1" x="368"/>
        <item m="1" x="130"/>
        <item m="1" x="431"/>
        <item m="1" x="425"/>
        <item m="1" x="513"/>
        <item m="1" x="281"/>
        <item m="1" x="309"/>
        <item m="1" x="569"/>
        <item m="1" x="559"/>
        <item m="1" x="447"/>
        <item m="1" x="218"/>
        <item m="1" x="165"/>
        <item m="1" x="178"/>
        <item m="1" x="204"/>
        <item m="1" x="384"/>
        <item m="1" x="483"/>
        <item m="1" x="412"/>
        <item m="1" x="532"/>
        <item m="1" x="566"/>
        <item m="1" x="565"/>
        <item m="1" x="440"/>
        <item m="1" x="464"/>
        <item m="1" x="505"/>
        <item m="1" x="708"/>
        <item m="1" x="523"/>
        <item m="1" x="454"/>
        <item m="1" x="466"/>
        <item m="1" x="933"/>
        <item m="1" x="702"/>
        <item m="1" x="337"/>
        <item m="1" x="427"/>
        <item m="1" x="172"/>
        <item m="1" x="25"/>
        <item m="1" x="722"/>
        <item m="1" x="762"/>
        <item m="1" x="894"/>
        <item m="1" x="64"/>
        <item m="1" x="67"/>
        <item m="1" x="782"/>
        <item m="1" x="814"/>
        <item m="1" x="845"/>
        <item m="1" x="733"/>
        <item m="1" x="1055"/>
        <item m="1" x="861"/>
        <item m="1" x="996"/>
        <item m="1" x="867"/>
        <item m="1" x="563"/>
        <item m="1" x="539"/>
        <item m="1" x="808"/>
        <item m="1" x="874"/>
        <item m="1" x="738"/>
        <item m="1" x="211"/>
        <item m="1" x="336"/>
        <item m="1" x="716"/>
        <item m="1" x="580"/>
        <item m="1" x="686"/>
        <item m="1" x="668"/>
        <item m="1" x="683"/>
        <item m="1" x="470"/>
        <item m="1" x="824"/>
        <item m="1" x="590"/>
        <item m="1" x="276"/>
        <item m="1" x="930"/>
        <item m="1" x="478"/>
        <item m="1" x="1030"/>
        <item m="1" x="789"/>
        <item m="1" x="641"/>
        <item m="1" x="695"/>
        <item m="1" x="799"/>
        <item m="1" x="994"/>
        <item m="1" x="701"/>
        <item m="1" x="916"/>
        <item m="1" x="1015"/>
        <item m="1" x="1028"/>
        <item m="1" x="964"/>
        <item m="1" x="1000"/>
        <item m="1" x="910"/>
        <item m="1" x="1027"/>
        <item m="1" x="995"/>
        <item m="1" x="603"/>
        <item m="1" x="506"/>
        <item m="1" x="632"/>
        <item m="1" x="667"/>
        <item m="1" x="723"/>
        <item m="1" x="843"/>
        <item m="1" x="611"/>
        <item m="1" x="833"/>
        <item m="1" x="732"/>
        <item m="1" x="690"/>
        <item m="1" x="74"/>
        <item m="1" x="121"/>
        <item m="1" x="975"/>
        <item m="1" x="542"/>
        <item m="1" x="788"/>
        <item m="1" x="312"/>
        <item m="1" x="459"/>
        <item m="1" x="921"/>
        <item m="1" x="517"/>
        <item m="1" x="467"/>
        <item m="1" x="624"/>
        <item m="1" x="587"/>
        <item m="1" x="694"/>
        <item m="1" x="662"/>
        <item m="1" x="816"/>
        <item m="1" x="236"/>
        <item m="1" x="567"/>
        <item m="1" x="961"/>
        <item m="1" x="653"/>
        <item m="1" x="774"/>
        <item m="1" x="704"/>
        <item m="1" x="562"/>
        <item m="1" x="790"/>
        <item m="1" x="258"/>
        <item m="1" x="88"/>
        <item m="1" x="167"/>
        <item m="1" x="366"/>
        <item m="1" x="925"/>
        <item m="1" x="339"/>
        <item m="1" x="616"/>
        <item m="1" x="635"/>
        <item m="1" x="1010"/>
        <item m="1" x="602"/>
        <item m="1" x="472"/>
        <item m="1" x="729"/>
        <item m="1" x="661"/>
        <item m="1" x="784"/>
        <item m="1" x="761"/>
        <item m="1" x="797"/>
        <item m="1" x="1031"/>
        <item m="1" x="915"/>
        <item m="1" x="713"/>
        <item m="1" x="960"/>
        <item m="1" x="931"/>
        <item m="1" x="759"/>
        <item m="1" x="905"/>
        <item m="1" x="998"/>
        <item m="1" x="1029"/>
        <item m="1" x="951"/>
        <item m="1" x="962"/>
        <item m="1" x="914"/>
        <item m="1" x="820"/>
        <item m="1" x="1012"/>
        <item m="1" x="1014"/>
        <item m="1" x="1009"/>
        <item m="1" x="504"/>
        <item m="1" x="935"/>
        <item m="1" x="879"/>
        <item m="1" x="868"/>
        <item m="1" x="880"/>
        <item m="1" x="474"/>
        <item m="1" x="773"/>
        <item m="1" x="744"/>
        <item m="1" x="316"/>
        <item m="1" x="558"/>
        <item m="1" x="409"/>
        <item m="1" x="540"/>
        <item m="1" x="619"/>
        <item m="1" x="809"/>
        <item m="1" x="605"/>
        <item m="1" x="714"/>
        <item m="1" x="918"/>
        <item m="1" x="947"/>
        <item m="1" x="535"/>
        <item m="1" x="997"/>
        <item m="1" x="979"/>
        <item m="1" x="44"/>
        <item m="1" x="82"/>
        <item m="1" x="43"/>
        <item m="1" x="306"/>
        <item m="1" x="28"/>
        <item m="1" x="26"/>
        <item m="1" x="597"/>
        <item m="1" x="613"/>
        <item m="1" x="128"/>
        <item m="1" x="34"/>
        <item m="1" x="573"/>
        <item m="1" x="72"/>
        <item m="1" x="73"/>
        <item m="1" x="586"/>
        <item m="1" x="643"/>
        <item m="1" x="792"/>
        <item m="1" x="256"/>
        <item m="1" x="920"/>
        <item m="1" x="659"/>
        <item m="1" x="490"/>
        <item m="1" x="811"/>
        <item m="1" x="351"/>
        <item m="1" x="1044"/>
        <item m="1" x="1007"/>
        <item m="1" x="461"/>
        <item m="1" x="564"/>
        <item m="1" x="943"/>
        <item m="1" x="860"/>
        <item m="1" x="684"/>
        <item m="1" x="1048"/>
        <item m="1" x="414"/>
        <item m="1" x="807"/>
        <item m="1" x="812"/>
        <item m="1" x="709"/>
        <item m="1" x="863"/>
        <item m="1" x="666"/>
        <item m="1" x="787"/>
        <item m="1" x="621"/>
        <item m="1" x="751"/>
        <item m="1" x="781"/>
        <item m="1" x="579"/>
        <item m="1" x="141"/>
        <item m="1" x="300"/>
        <item m="1" x="881"/>
        <item m="1" x="753"/>
        <item m="1" x="949"/>
        <item m="1" x="754"/>
        <item m="1" x="1053"/>
        <item m="1" x="940"/>
        <item m="1" x="1023"/>
        <item m="1" x="796"/>
        <item m="1" x="1052"/>
        <item m="1" x="1054"/>
        <item m="1" x="1049"/>
        <item m="1" x="1051"/>
        <item m="1" x="33"/>
        <item m="1" x="134"/>
        <item m="1" x="81"/>
        <item m="1" x="90"/>
        <item m="1" x="122"/>
        <item m="1" x="48"/>
        <item m="1" x="188"/>
        <item m="1" x="139"/>
        <item m="1" x="294"/>
        <item m="1" x="411"/>
        <item m="1" x="361"/>
        <item m="1" x="778"/>
        <item m="1" x="749"/>
        <item m="1" x="1008"/>
        <item m="1" x="1046"/>
        <item m="1" x="1045"/>
        <item m="1" x="1050"/>
        <item m="1" x="993"/>
        <item m="1" x="839"/>
        <item m="1" x="371"/>
        <item m="1" x="380"/>
        <item m="1" x="387"/>
        <item m="1" x="574"/>
        <item m="1" x="323"/>
        <item m="1" x="335"/>
        <item m="1" x="111"/>
        <item m="1" x="153"/>
        <item m="1" x="295"/>
        <item m="1" x="1056"/>
        <item m="1" x="1057"/>
        <item m="1" x="1058"/>
        <item x="11"/>
        <item x="12"/>
        <item x="13"/>
        <item x="14"/>
        <item x="19"/>
        <item x="21"/>
        <item x="22"/>
        <item x="23"/>
        <item t="default"/>
      </items>
    </pivotField>
    <pivotField showAll="0"/>
    <pivotField axis="axisRow" sortType="ascending" numFmtId="181" showAll="0">
      <items count="302"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dataField="1" showAll="0"/>
  </pivotFields>
  <rowFields count="1">
    <field x="2"/>
  </rowFields>
  <rowItems count="187"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</rowItems>
  <colItems count="1">
    <i/>
  </colItems>
  <pageFields count="1">
    <pageField fld="0" item="547"/>
  </pageFields>
  <dataFields count="1">
    <dataField name="Saída" fld="3" baseField="0" baseItem="0" numFmtId="4"/>
  </dataFields>
  <formats count="4">
    <format dxfId="0">
      <pivotArea field="2" type="button" dataOnly="0" labelOnly="1" outline="0" fieldPosition="0"/>
    </format>
    <format dxfId="1">
      <pivotArea dataOnly="0" labelOnly="1" outline="0" fieldPosition="0"/>
    </format>
    <format dxfId="2">
      <pivotArea outline="0" collapsedLevelsAreSubtotals="1" fieldPosition="0"/>
    </format>
    <format dxfId="3">
      <pivotArea dataOnly="0" labelOnly="1" outline="0" fieldPosition="0"/>
    </format>
  </formats>
  <pivotTableStyleInfo name="PivotStyleLight2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Saida" displayName="tSaida" ref="B4:E2073" totalsRowShown="0">
  <autoFilter xmlns:etc="http://www.wps.cn/officeDocument/2017/etCustomData" ref="B4:E2073" etc:filterBottomFollowUsedRange="0"/>
  <tableColumns count="4">
    <tableColumn id="1" name="Produto"/>
    <tableColumn id="4" name="Descrição" dataDxfId="4"/>
    <tableColumn id="2" name="Data" dataDxfId="5"/>
    <tableColumn id="3" name="Saída / Demanda" dataDxfId="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B4:Q25" totalsRowShown="0">
  <autoFilter xmlns:etc="http://www.wps.cn/officeDocument/2017/etCustomData" ref="B4:Q25" etc:filterBottomFollowUsedRange="0"/>
  <tableColumns count="16">
    <tableColumn id="1" name="Produto" dataDxfId="7"/>
    <tableColumn id="2" name="Descricao" dataDxfId="8"/>
    <tableColumn id="3" name="Quantidade" dataDxfId="9"/>
    <tableColumn id="4" name="%" dataDxfId="10"/>
    <tableColumn id="5" name="Acumulado" dataDxfId="11"/>
    <tableColumn id="6" name="ABC" dataDxfId="12"/>
    <tableColumn id="7" name="Diário (PC)" dataDxfId="13"/>
    <tableColumn id="8" name="Mensal" dataDxfId="14">
      <calculatedColumnFormula>H5*23</calculatedColumnFormula>
    </tableColumn>
    <tableColumn id="9" name="Média" dataDxfId="15">
      <calculatedColumnFormula>ROUNDUP(AVERAGEIF(tSaida[Produto],B5,tSaida[Saída / Demanda]),-1)</calculatedColumnFormula>
    </tableColumn>
    <tableColumn id="10" name="Desv. Padrão" dataDxfId="16">
      <calculatedColumnFormula array="1">IFERROR(_xlfn.STDEV.S(IF(tSaida[Produto]=Consolidação!B5,tSaida[Saída / Demanda])),0)</calculatedColumnFormula>
    </tableColumn>
    <tableColumn id="11" name="% Desv.padrão" dataDxfId="17">
      <calculatedColumnFormula>K5/J5</calculatedColumnFormula>
    </tableColumn>
    <tableColumn id="12" name="Lead Time" dataDxfId="18">
      <calculatedColumnFormula>$M$3</calculatedColumnFormula>
    </tableColumn>
    <tableColumn id="13" name="Nível de Segurança" dataDxfId="19">
      <calculatedColumnFormula>$N$3</calculatedColumnFormula>
    </tableColumn>
    <tableColumn id="14" name="Estoque de Segurança" dataDxfId="20">
      <calculatedColumnFormula>ROUNDUP(NORMSINV(N5)*SQRT((K5^2)*M5+(J5^2)*(1^2)),-1)</calculatedColumnFormula>
    </tableColumn>
    <tableColumn id="15" name="Ponto de Pedido" dataDxfId="21">
      <calculatedColumnFormula>J5*M5+O5</calculatedColumnFormula>
    </tableColumn>
    <tableColumn id="16" name="Estoque Máximo" dataDxfId="22">
      <calculatedColumnFormula>ROUNDUP(IFERROR((J5+O5)*M5,""),-2)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NivelServico" displayName="tNivelServico" ref="B5:C18" totalsRowShown="0">
  <autoFilter xmlns:etc="http://www.wps.cn/officeDocument/2017/etCustomData" ref="B5:C18" etc:filterBottomFollowUsedRange="0"/>
  <tableColumns count="2">
    <tableColumn id="1" name="Nível de Serviço" dataDxfId="23"/>
    <tableColumn id="2" name="Fator de Serviço" dataDxfId="24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1"/>
  <dimension ref="A1:AF2073"/>
  <sheetViews>
    <sheetView showGridLines="0" zoomScale="190" zoomScaleNormal="190" topLeftCell="A9" workbookViewId="0">
      <selection activeCell="C6" sqref="C6"/>
    </sheetView>
  </sheetViews>
  <sheetFormatPr defaultColWidth="9" defaultRowHeight="15"/>
  <cols>
    <col min="1" max="1" width="6.28571428571429" customWidth="1"/>
    <col min="2" max="2" width="10.4285714285714" customWidth="1"/>
    <col min="3" max="3" width="39" customWidth="1"/>
    <col min="4" max="4" width="10.4285714285714" style="43" customWidth="1"/>
    <col min="5" max="5" width="20.5714285714286" customWidth="1"/>
  </cols>
  <sheetData>
    <row r="1" ht="31.5" spans="1:32">
      <c r="A1" s="1"/>
      <c r="B1" s="1"/>
      <c r="C1" s="1"/>
      <c r="D1" s="44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1.5" spans="1:32">
      <c r="A2" s="1"/>
      <c r="B2" s="1"/>
      <c r="C2" s="1"/>
      <c r="D2" s="44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4" spans="2:7">
      <c r="B4" s="45" t="s">
        <v>0</v>
      </c>
      <c r="C4" s="45" t="s">
        <v>1</v>
      </c>
      <c r="D4" s="46" t="s">
        <v>2</v>
      </c>
      <c r="E4" s="47" t="s">
        <v>3</v>
      </c>
      <c r="G4" cm="1">
        <f t="array" ref="G4">COUNTA(_xlfn.UNIQUE(MONTH(tSaida[Data])))</f>
        <v>9</v>
      </c>
    </row>
    <row r="5" spans="2:5">
      <c r="B5" s="48" t="s">
        <v>4</v>
      </c>
      <c r="C5" s="48" t="s">
        <v>5</v>
      </c>
      <c r="D5" s="49">
        <v>45659</v>
      </c>
      <c r="E5" s="10">
        <v>80.5</v>
      </c>
    </row>
    <row r="6" spans="2:5">
      <c r="B6" s="48" t="s">
        <v>6</v>
      </c>
      <c r="C6" s="48" t="s">
        <v>7</v>
      </c>
      <c r="D6" s="49">
        <v>45659</v>
      </c>
      <c r="E6" s="10">
        <v>62</v>
      </c>
    </row>
    <row r="7" spans="2:5">
      <c r="B7" s="48" t="s">
        <v>8</v>
      </c>
      <c r="C7" s="48" t="s">
        <v>9</v>
      </c>
      <c r="D7" s="49">
        <v>45659</v>
      </c>
      <c r="E7" s="10">
        <v>35</v>
      </c>
    </row>
    <row r="8" spans="2:5">
      <c r="B8" s="48" t="s">
        <v>10</v>
      </c>
      <c r="C8" s="48" t="s">
        <v>11</v>
      </c>
      <c r="D8" s="49">
        <v>45659</v>
      </c>
      <c r="E8" s="10">
        <v>15</v>
      </c>
    </row>
    <row r="9" spans="2:5">
      <c r="B9" s="48" t="s">
        <v>12</v>
      </c>
      <c r="C9" s="48" t="s">
        <v>13</v>
      </c>
      <c r="D9" s="49">
        <v>45659</v>
      </c>
      <c r="E9" s="10">
        <v>14</v>
      </c>
    </row>
    <row r="10" spans="2:5">
      <c r="B10" s="48" t="s">
        <v>14</v>
      </c>
      <c r="C10" s="48" t="s">
        <v>15</v>
      </c>
      <c r="D10" s="49">
        <v>45659</v>
      </c>
      <c r="E10" s="10">
        <v>1</v>
      </c>
    </row>
    <row r="11" spans="2:5">
      <c r="B11" s="48" t="s">
        <v>4</v>
      </c>
      <c r="C11" s="48" t="s">
        <v>5</v>
      </c>
      <c r="D11" s="49">
        <v>45660</v>
      </c>
      <c r="E11" s="10">
        <v>83.6</v>
      </c>
    </row>
    <row r="12" spans="2:5">
      <c r="B12" s="48" t="s">
        <v>12</v>
      </c>
      <c r="C12" s="48" t="s">
        <v>13</v>
      </c>
      <c r="D12" s="49">
        <v>45660</v>
      </c>
      <c r="E12" s="10">
        <v>62</v>
      </c>
    </row>
    <row r="13" spans="2:5">
      <c r="B13" s="48" t="s">
        <v>16</v>
      </c>
      <c r="C13" s="48" t="s">
        <v>17</v>
      </c>
      <c r="D13" s="49">
        <v>45660</v>
      </c>
      <c r="E13" s="10">
        <v>45</v>
      </c>
    </row>
    <row r="14" spans="2:5">
      <c r="B14" s="48" t="s">
        <v>18</v>
      </c>
      <c r="C14" s="48" t="s">
        <v>19</v>
      </c>
      <c r="D14" s="49">
        <v>45660</v>
      </c>
      <c r="E14" s="10">
        <v>28</v>
      </c>
    </row>
    <row r="15" spans="2:5">
      <c r="B15" s="48" t="s">
        <v>6</v>
      </c>
      <c r="C15" s="48" t="s">
        <v>7</v>
      </c>
      <c r="D15" s="49">
        <v>45660</v>
      </c>
      <c r="E15" s="10">
        <v>26</v>
      </c>
    </row>
    <row r="16" spans="2:5">
      <c r="B16" s="48" t="s">
        <v>8</v>
      </c>
      <c r="C16" s="48" t="s">
        <v>9</v>
      </c>
      <c r="D16" s="49">
        <v>45660</v>
      </c>
      <c r="E16" s="10">
        <v>24</v>
      </c>
    </row>
    <row r="17" spans="2:5">
      <c r="B17" s="48" t="s">
        <v>10</v>
      </c>
      <c r="C17" s="48" t="s">
        <v>11</v>
      </c>
      <c r="D17" s="49">
        <v>45660</v>
      </c>
      <c r="E17" s="10">
        <v>17</v>
      </c>
    </row>
    <row r="18" spans="2:5">
      <c r="B18" s="48" t="s">
        <v>14</v>
      </c>
      <c r="C18" s="48" t="s">
        <v>15</v>
      </c>
      <c r="D18" s="49">
        <v>45660</v>
      </c>
      <c r="E18" s="10">
        <v>14</v>
      </c>
    </row>
    <row r="19" spans="2:5">
      <c r="B19" s="48" t="s">
        <v>10</v>
      </c>
      <c r="C19" s="48" t="s">
        <v>11</v>
      </c>
      <c r="D19" s="49">
        <v>45663</v>
      </c>
      <c r="E19" s="10">
        <v>132</v>
      </c>
    </row>
    <row r="20" spans="2:5">
      <c r="B20" s="48" t="s">
        <v>4</v>
      </c>
      <c r="C20" s="48" t="s">
        <v>5</v>
      </c>
      <c r="D20" s="49">
        <v>45663</v>
      </c>
      <c r="E20" s="10">
        <v>117</v>
      </c>
    </row>
    <row r="21" spans="2:5">
      <c r="B21" s="48" t="s">
        <v>8</v>
      </c>
      <c r="C21" s="48" t="s">
        <v>9</v>
      </c>
      <c r="D21" s="49">
        <v>45663</v>
      </c>
      <c r="E21" s="10">
        <v>96</v>
      </c>
    </row>
    <row r="22" spans="2:5">
      <c r="B22" s="48" t="s">
        <v>6</v>
      </c>
      <c r="C22" s="48" t="s">
        <v>7</v>
      </c>
      <c r="D22" s="49">
        <v>45663</v>
      </c>
      <c r="E22" s="10">
        <v>86</v>
      </c>
    </row>
    <row r="23" spans="2:5">
      <c r="B23" s="48" t="s">
        <v>18</v>
      </c>
      <c r="C23" s="48" t="s">
        <v>19</v>
      </c>
      <c r="D23" s="49">
        <v>45663</v>
      </c>
      <c r="E23" s="10">
        <v>45</v>
      </c>
    </row>
    <row r="24" spans="2:5">
      <c r="B24" s="48" t="s">
        <v>20</v>
      </c>
      <c r="C24" s="48" t="s">
        <v>21</v>
      </c>
      <c r="D24" s="49">
        <v>45663</v>
      </c>
      <c r="E24" s="10">
        <v>29</v>
      </c>
    </row>
    <row r="25" spans="2:5">
      <c r="B25" s="48" t="s">
        <v>22</v>
      </c>
      <c r="C25" s="48" t="s">
        <v>23</v>
      </c>
      <c r="D25" s="49">
        <v>45663</v>
      </c>
      <c r="E25" s="10">
        <v>27</v>
      </c>
    </row>
    <row r="26" spans="2:5">
      <c r="B26" s="48" t="s">
        <v>14</v>
      </c>
      <c r="C26" s="48" t="s">
        <v>15</v>
      </c>
      <c r="D26" s="49">
        <v>45663</v>
      </c>
      <c r="E26" s="10">
        <v>26</v>
      </c>
    </row>
    <row r="27" spans="2:5">
      <c r="B27" s="48" t="s">
        <v>12</v>
      </c>
      <c r="C27" s="48" t="s">
        <v>13</v>
      </c>
      <c r="D27" s="49">
        <v>45663</v>
      </c>
      <c r="E27" s="10">
        <v>25</v>
      </c>
    </row>
    <row r="28" spans="2:5">
      <c r="B28" s="48" t="s">
        <v>24</v>
      </c>
      <c r="C28" s="48" t="s">
        <v>25</v>
      </c>
      <c r="D28" s="49">
        <v>45663</v>
      </c>
      <c r="E28" s="10">
        <v>20</v>
      </c>
    </row>
    <row r="29" spans="2:5">
      <c r="B29" s="48" t="s">
        <v>26</v>
      </c>
      <c r="C29" s="48" t="s">
        <v>27</v>
      </c>
      <c r="D29" s="49">
        <v>45663</v>
      </c>
      <c r="E29" s="10">
        <v>13</v>
      </c>
    </row>
    <row r="30" spans="2:5">
      <c r="B30" s="48" t="s">
        <v>16</v>
      </c>
      <c r="C30" s="48" t="s">
        <v>17</v>
      </c>
      <c r="D30" s="49">
        <v>45663</v>
      </c>
      <c r="E30" s="10">
        <v>9</v>
      </c>
    </row>
    <row r="31" spans="2:5">
      <c r="B31" s="48" t="s">
        <v>28</v>
      </c>
      <c r="C31" s="48" t="s">
        <v>15</v>
      </c>
      <c r="D31" s="49">
        <v>45663</v>
      </c>
      <c r="E31" s="10">
        <v>6</v>
      </c>
    </row>
    <row r="32" spans="2:5">
      <c r="B32" s="48" t="s">
        <v>29</v>
      </c>
      <c r="C32" s="48" t="s">
        <v>19</v>
      </c>
      <c r="D32" s="49">
        <v>45663</v>
      </c>
      <c r="E32" s="10">
        <v>6</v>
      </c>
    </row>
    <row r="33" spans="2:5">
      <c r="B33" s="48" t="s">
        <v>30</v>
      </c>
      <c r="C33" s="48" t="s">
        <v>25</v>
      </c>
      <c r="D33" s="49">
        <v>45663</v>
      </c>
      <c r="E33" s="10">
        <v>1</v>
      </c>
    </row>
    <row r="34" spans="2:5">
      <c r="B34" s="48" t="s">
        <v>31</v>
      </c>
      <c r="C34" s="48" t="s">
        <v>32</v>
      </c>
      <c r="D34" s="49">
        <v>45664</v>
      </c>
      <c r="E34" s="10">
        <v>1815</v>
      </c>
    </row>
    <row r="35" spans="2:5">
      <c r="B35" s="48" t="s">
        <v>4</v>
      </c>
      <c r="C35" s="48" t="s">
        <v>5</v>
      </c>
      <c r="D35" s="49">
        <v>45664</v>
      </c>
      <c r="E35" s="10">
        <v>957.6</v>
      </c>
    </row>
    <row r="36" spans="2:5">
      <c r="B36" s="48" t="s">
        <v>12</v>
      </c>
      <c r="C36" s="48" t="s">
        <v>13</v>
      </c>
      <c r="D36" s="49">
        <v>45664</v>
      </c>
      <c r="E36" s="10">
        <v>128</v>
      </c>
    </row>
    <row r="37" spans="2:5">
      <c r="B37" s="48" t="s">
        <v>8</v>
      </c>
      <c r="C37" s="48" t="s">
        <v>9</v>
      </c>
      <c r="D37" s="49">
        <v>45664</v>
      </c>
      <c r="E37" s="10">
        <v>126</v>
      </c>
    </row>
    <row r="38" spans="2:5">
      <c r="B38" s="48" t="s">
        <v>33</v>
      </c>
      <c r="C38" s="48" t="s">
        <v>34</v>
      </c>
      <c r="D38" s="49">
        <v>45664</v>
      </c>
      <c r="E38" s="10">
        <v>86</v>
      </c>
    </row>
    <row r="39" spans="2:5">
      <c r="B39" s="48" t="s">
        <v>35</v>
      </c>
      <c r="C39" s="48" t="s">
        <v>36</v>
      </c>
      <c r="D39" s="49">
        <v>45664</v>
      </c>
      <c r="E39" s="10">
        <v>58</v>
      </c>
    </row>
    <row r="40" spans="2:5">
      <c r="B40" s="48" t="s">
        <v>16</v>
      </c>
      <c r="C40" s="48" t="s">
        <v>17</v>
      </c>
      <c r="D40" s="49">
        <v>45664</v>
      </c>
      <c r="E40" s="10">
        <v>46</v>
      </c>
    </row>
    <row r="41" spans="2:5">
      <c r="B41" s="48" t="s">
        <v>10</v>
      </c>
      <c r="C41" s="48" t="s">
        <v>11</v>
      </c>
      <c r="D41" s="49">
        <v>45664</v>
      </c>
      <c r="E41" s="10">
        <v>36</v>
      </c>
    </row>
    <row r="42" spans="2:5">
      <c r="B42" s="48" t="s">
        <v>6</v>
      </c>
      <c r="C42" s="48" t="s">
        <v>7</v>
      </c>
      <c r="D42" s="49">
        <v>45664</v>
      </c>
      <c r="E42" s="10">
        <v>28</v>
      </c>
    </row>
    <row r="43" spans="2:5">
      <c r="B43" s="48" t="s">
        <v>31</v>
      </c>
      <c r="C43" s="48" t="s">
        <v>32</v>
      </c>
      <c r="D43" s="49">
        <v>45665</v>
      </c>
      <c r="E43" s="10">
        <v>115.5</v>
      </c>
    </row>
    <row r="44" spans="2:5">
      <c r="B44" s="48" t="s">
        <v>6</v>
      </c>
      <c r="C44" s="48" t="s">
        <v>7</v>
      </c>
      <c r="D44" s="49">
        <v>45665</v>
      </c>
      <c r="E44" s="10">
        <v>54</v>
      </c>
    </row>
    <row r="45" spans="2:5">
      <c r="B45" s="48" t="s">
        <v>8</v>
      </c>
      <c r="C45" s="48" t="s">
        <v>9</v>
      </c>
      <c r="D45" s="49">
        <v>45665</v>
      </c>
      <c r="E45" s="10">
        <v>35</v>
      </c>
    </row>
    <row r="46" spans="2:5">
      <c r="B46" s="48" t="s">
        <v>10</v>
      </c>
      <c r="C46" s="48" t="s">
        <v>11</v>
      </c>
      <c r="D46" s="49">
        <v>45665</v>
      </c>
      <c r="E46" s="10">
        <v>34</v>
      </c>
    </row>
    <row r="47" spans="2:5">
      <c r="B47" s="48" t="s">
        <v>12</v>
      </c>
      <c r="C47" s="48" t="s">
        <v>13</v>
      </c>
      <c r="D47" s="49">
        <v>45665</v>
      </c>
      <c r="E47" s="10">
        <v>7</v>
      </c>
    </row>
    <row r="48" spans="2:5">
      <c r="B48" s="48" t="s">
        <v>16</v>
      </c>
      <c r="C48" s="48" t="s">
        <v>17</v>
      </c>
      <c r="D48" s="49">
        <v>45665</v>
      </c>
      <c r="E48" s="10">
        <v>5</v>
      </c>
    </row>
    <row r="49" spans="2:5">
      <c r="B49" s="48" t="s">
        <v>37</v>
      </c>
      <c r="C49" s="48" t="s">
        <v>38</v>
      </c>
      <c r="D49" s="49">
        <v>45665</v>
      </c>
      <c r="E49" s="10">
        <v>4</v>
      </c>
    </row>
    <row r="50" spans="2:5">
      <c r="B50" s="48" t="s">
        <v>30</v>
      </c>
      <c r="C50" s="48" t="s">
        <v>25</v>
      </c>
      <c r="D50" s="49">
        <v>45665</v>
      </c>
      <c r="E50" s="10">
        <v>3</v>
      </c>
    </row>
    <row r="51" spans="2:5">
      <c r="B51" s="48" t="s">
        <v>22</v>
      </c>
      <c r="C51" s="48" t="s">
        <v>23</v>
      </c>
      <c r="D51" s="49">
        <v>45665</v>
      </c>
      <c r="E51" s="10">
        <v>3</v>
      </c>
    </row>
    <row r="52" spans="2:5">
      <c r="B52" s="48" t="s">
        <v>4</v>
      </c>
      <c r="C52" s="48" t="s">
        <v>5</v>
      </c>
      <c r="D52" s="49">
        <v>45666</v>
      </c>
      <c r="E52" s="10">
        <v>950.3</v>
      </c>
    </row>
    <row r="53" spans="2:5">
      <c r="B53" s="48" t="s">
        <v>8</v>
      </c>
      <c r="C53" s="48" t="s">
        <v>9</v>
      </c>
      <c r="D53" s="49">
        <v>45666</v>
      </c>
      <c r="E53" s="10">
        <v>226</v>
      </c>
    </row>
    <row r="54" spans="2:5">
      <c r="B54" s="48" t="s">
        <v>6</v>
      </c>
      <c r="C54" s="48" t="s">
        <v>7</v>
      </c>
      <c r="D54" s="49">
        <v>45666</v>
      </c>
      <c r="E54" s="10">
        <v>222</v>
      </c>
    </row>
    <row r="55" spans="2:5">
      <c r="B55" s="48" t="s">
        <v>16</v>
      </c>
      <c r="C55" s="48" t="s">
        <v>17</v>
      </c>
      <c r="D55" s="49">
        <v>45666</v>
      </c>
      <c r="E55" s="10">
        <v>167</v>
      </c>
    </row>
    <row r="56" spans="2:5">
      <c r="B56" s="48" t="s">
        <v>12</v>
      </c>
      <c r="C56" s="48" t="s">
        <v>13</v>
      </c>
      <c r="D56" s="49">
        <v>45666</v>
      </c>
      <c r="E56" s="10">
        <v>121</v>
      </c>
    </row>
    <row r="57" spans="2:5">
      <c r="B57" s="48" t="s">
        <v>10</v>
      </c>
      <c r="C57" s="48" t="s">
        <v>11</v>
      </c>
      <c r="D57" s="49">
        <v>45666</v>
      </c>
      <c r="E57" s="10">
        <v>104</v>
      </c>
    </row>
    <row r="58" spans="2:5">
      <c r="B58" s="48" t="s">
        <v>18</v>
      </c>
      <c r="C58" s="48" t="s">
        <v>19</v>
      </c>
      <c r="D58" s="49">
        <v>45666</v>
      </c>
      <c r="E58" s="10">
        <v>20</v>
      </c>
    </row>
    <row r="59" spans="2:5">
      <c r="B59" s="48" t="s">
        <v>4</v>
      </c>
      <c r="C59" s="48" t="s">
        <v>5</v>
      </c>
      <c r="D59" s="49">
        <v>45667</v>
      </c>
      <c r="E59" s="10">
        <v>551.1</v>
      </c>
    </row>
    <row r="60" spans="2:5">
      <c r="B60" s="48" t="s">
        <v>8</v>
      </c>
      <c r="C60" s="48" t="s">
        <v>9</v>
      </c>
      <c r="D60" s="49">
        <v>45667</v>
      </c>
      <c r="E60" s="10">
        <v>106</v>
      </c>
    </row>
    <row r="61" spans="2:5">
      <c r="B61" s="48" t="s">
        <v>16</v>
      </c>
      <c r="C61" s="48" t="s">
        <v>17</v>
      </c>
      <c r="D61" s="49">
        <v>45667</v>
      </c>
      <c r="E61" s="10">
        <v>95</v>
      </c>
    </row>
    <row r="62" spans="2:5">
      <c r="B62" s="48" t="s">
        <v>12</v>
      </c>
      <c r="C62" s="48" t="s">
        <v>13</v>
      </c>
      <c r="D62" s="49">
        <v>45667</v>
      </c>
      <c r="E62" s="10">
        <v>75</v>
      </c>
    </row>
    <row r="63" spans="2:5">
      <c r="B63" s="48" t="s">
        <v>35</v>
      </c>
      <c r="C63" s="48" t="s">
        <v>36</v>
      </c>
      <c r="D63" s="49">
        <v>45667</v>
      </c>
      <c r="E63" s="10">
        <v>62</v>
      </c>
    </row>
    <row r="64" spans="2:5">
      <c r="B64" s="48" t="s">
        <v>37</v>
      </c>
      <c r="C64" s="48" t="s">
        <v>38</v>
      </c>
      <c r="D64" s="49">
        <v>45667</v>
      </c>
      <c r="E64" s="10">
        <v>58</v>
      </c>
    </row>
    <row r="65" spans="2:5">
      <c r="B65" s="48" t="s">
        <v>6</v>
      </c>
      <c r="C65" s="48" t="s">
        <v>7</v>
      </c>
      <c r="D65" s="49">
        <v>45667</v>
      </c>
      <c r="E65" s="10">
        <v>43</v>
      </c>
    </row>
    <row r="66" spans="2:5">
      <c r="B66" s="48" t="s">
        <v>10</v>
      </c>
      <c r="C66" s="48" t="s">
        <v>11</v>
      </c>
      <c r="D66" s="49">
        <v>45667</v>
      </c>
      <c r="E66" s="10">
        <v>28</v>
      </c>
    </row>
    <row r="67" spans="2:5">
      <c r="B67" s="48" t="s">
        <v>24</v>
      </c>
      <c r="C67" s="48" t="s">
        <v>25</v>
      </c>
      <c r="D67" s="49">
        <v>45667</v>
      </c>
      <c r="E67" s="10">
        <v>20</v>
      </c>
    </row>
    <row r="68" spans="2:5">
      <c r="B68" s="48" t="s">
        <v>20</v>
      </c>
      <c r="C68" s="48" t="s">
        <v>21</v>
      </c>
      <c r="D68" s="49">
        <v>45667</v>
      </c>
      <c r="E68" s="10">
        <v>8</v>
      </c>
    </row>
    <row r="69" spans="2:5">
      <c r="B69" s="48" t="s">
        <v>4</v>
      </c>
      <c r="C69" s="48" t="s">
        <v>5</v>
      </c>
      <c r="D69" s="49">
        <v>45670</v>
      </c>
      <c r="E69" s="10">
        <v>905.2</v>
      </c>
    </row>
    <row r="70" spans="2:5">
      <c r="B70" s="48" t="s">
        <v>8</v>
      </c>
      <c r="C70" s="48" t="s">
        <v>9</v>
      </c>
      <c r="D70" s="49">
        <v>45670</v>
      </c>
      <c r="E70" s="10">
        <v>268</v>
      </c>
    </row>
    <row r="71" spans="2:5">
      <c r="B71" s="48" t="s">
        <v>12</v>
      </c>
      <c r="C71" s="48" t="s">
        <v>13</v>
      </c>
      <c r="D71" s="49">
        <v>45670</v>
      </c>
      <c r="E71" s="10">
        <v>197</v>
      </c>
    </row>
    <row r="72" spans="2:5">
      <c r="B72" s="48" t="s">
        <v>16</v>
      </c>
      <c r="C72" s="48" t="s">
        <v>17</v>
      </c>
      <c r="D72" s="49">
        <v>45670</v>
      </c>
      <c r="E72" s="10">
        <v>128</v>
      </c>
    </row>
    <row r="73" spans="2:5">
      <c r="B73" s="48" t="s">
        <v>6</v>
      </c>
      <c r="C73" s="48" t="s">
        <v>7</v>
      </c>
      <c r="D73" s="49">
        <v>45670</v>
      </c>
      <c r="E73" s="10">
        <v>86</v>
      </c>
    </row>
    <row r="74" spans="2:5">
      <c r="B74" s="48" t="s">
        <v>37</v>
      </c>
      <c r="C74" s="48" t="s">
        <v>38</v>
      </c>
      <c r="D74" s="49">
        <v>45670</v>
      </c>
      <c r="E74" s="10">
        <v>65</v>
      </c>
    </row>
    <row r="75" spans="2:5">
      <c r="B75" s="48" t="s">
        <v>35</v>
      </c>
      <c r="C75" s="48" t="s">
        <v>36</v>
      </c>
      <c r="D75" s="49">
        <v>45670</v>
      </c>
      <c r="E75" s="10">
        <v>14</v>
      </c>
    </row>
    <row r="76" spans="2:5">
      <c r="B76" s="48" t="s">
        <v>10</v>
      </c>
      <c r="C76" s="48" t="s">
        <v>11</v>
      </c>
      <c r="D76" s="49">
        <v>45670</v>
      </c>
      <c r="E76" s="10">
        <v>4</v>
      </c>
    </row>
    <row r="77" spans="2:5">
      <c r="B77" s="48" t="s">
        <v>24</v>
      </c>
      <c r="C77" s="48" t="s">
        <v>25</v>
      </c>
      <c r="D77" s="49">
        <v>45670</v>
      </c>
      <c r="E77" s="10">
        <v>1</v>
      </c>
    </row>
    <row r="78" spans="2:5">
      <c r="B78" s="48" t="s">
        <v>4</v>
      </c>
      <c r="C78" s="48" t="s">
        <v>5</v>
      </c>
      <c r="D78" s="49">
        <v>45671</v>
      </c>
      <c r="E78" s="10">
        <v>442.5</v>
      </c>
    </row>
    <row r="79" spans="2:5">
      <c r="B79" s="48" t="s">
        <v>12</v>
      </c>
      <c r="C79" s="48" t="s">
        <v>13</v>
      </c>
      <c r="D79" s="49">
        <v>45671</v>
      </c>
      <c r="E79" s="10">
        <v>86</v>
      </c>
    </row>
    <row r="80" spans="2:5">
      <c r="B80" s="48" t="s">
        <v>20</v>
      </c>
      <c r="C80" s="48" t="s">
        <v>21</v>
      </c>
      <c r="D80" s="49">
        <v>45671</v>
      </c>
      <c r="E80" s="10">
        <v>69</v>
      </c>
    </row>
    <row r="81" spans="2:5">
      <c r="B81" s="48" t="s">
        <v>24</v>
      </c>
      <c r="C81" s="48" t="s">
        <v>25</v>
      </c>
      <c r="D81" s="49">
        <v>45671</v>
      </c>
      <c r="E81" s="10">
        <v>60</v>
      </c>
    </row>
    <row r="82" spans="2:5">
      <c r="B82" s="48" t="s">
        <v>35</v>
      </c>
      <c r="C82" s="48" t="s">
        <v>36</v>
      </c>
      <c r="D82" s="49">
        <v>45671</v>
      </c>
      <c r="E82" s="10">
        <v>60</v>
      </c>
    </row>
    <row r="83" spans="2:5">
      <c r="B83" s="48" t="s">
        <v>16</v>
      </c>
      <c r="C83" s="48" t="s">
        <v>17</v>
      </c>
      <c r="D83" s="49">
        <v>45671</v>
      </c>
      <c r="E83" s="10">
        <v>60</v>
      </c>
    </row>
    <row r="84" spans="2:5">
      <c r="B84" s="48" t="s">
        <v>31</v>
      </c>
      <c r="C84" s="48" t="s">
        <v>32</v>
      </c>
      <c r="D84" s="49">
        <v>45671</v>
      </c>
      <c r="E84" s="10">
        <v>52.5</v>
      </c>
    </row>
    <row r="85" spans="2:5">
      <c r="B85" s="48" t="s">
        <v>14</v>
      </c>
      <c r="C85" s="48" t="s">
        <v>15</v>
      </c>
      <c r="D85" s="49">
        <v>45671</v>
      </c>
      <c r="E85" s="10">
        <v>47</v>
      </c>
    </row>
    <row r="86" spans="2:5">
      <c r="B86" s="48" t="s">
        <v>6</v>
      </c>
      <c r="C86" s="48" t="s">
        <v>7</v>
      </c>
      <c r="D86" s="49">
        <v>45671</v>
      </c>
      <c r="E86" s="10">
        <v>43</v>
      </c>
    </row>
    <row r="87" spans="2:5">
      <c r="B87" s="48" t="s">
        <v>8</v>
      </c>
      <c r="C87" s="48" t="s">
        <v>9</v>
      </c>
      <c r="D87" s="49">
        <v>45671</v>
      </c>
      <c r="E87" s="10">
        <v>31</v>
      </c>
    </row>
    <row r="88" spans="2:5">
      <c r="B88" s="48" t="s">
        <v>18</v>
      </c>
      <c r="C88" s="48" t="s">
        <v>19</v>
      </c>
      <c r="D88" s="49">
        <v>45671</v>
      </c>
      <c r="E88" s="10">
        <v>26</v>
      </c>
    </row>
    <row r="89" spans="2:5">
      <c r="B89" s="48" t="s">
        <v>33</v>
      </c>
      <c r="C89" s="48" t="s">
        <v>34</v>
      </c>
      <c r="D89" s="49">
        <v>45671</v>
      </c>
      <c r="E89" s="10">
        <v>16</v>
      </c>
    </row>
    <row r="90" spans="2:5">
      <c r="B90" s="48" t="s">
        <v>10</v>
      </c>
      <c r="C90" s="48" t="s">
        <v>11</v>
      </c>
      <c r="D90" s="49">
        <v>45671</v>
      </c>
      <c r="E90" s="10">
        <v>11</v>
      </c>
    </row>
    <row r="91" spans="2:5">
      <c r="B91" s="48" t="s">
        <v>37</v>
      </c>
      <c r="C91" s="48" t="s">
        <v>38</v>
      </c>
      <c r="D91" s="49">
        <v>45671</v>
      </c>
      <c r="E91" s="10">
        <v>10</v>
      </c>
    </row>
    <row r="92" spans="2:5">
      <c r="B92" s="48" t="s">
        <v>39</v>
      </c>
      <c r="C92" s="48" t="s">
        <v>36</v>
      </c>
      <c r="D92" s="49">
        <v>45671</v>
      </c>
      <c r="E92" s="10">
        <v>4</v>
      </c>
    </row>
    <row r="93" spans="2:5">
      <c r="B93" s="48" t="s">
        <v>4</v>
      </c>
      <c r="C93" s="48" t="s">
        <v>5</v>
      </c>
      <c r="D93" s="49">
        <v>45672</v>
      </c>
      <c r="E93" s="10">
        <v>1561.5</v>
      </c>
    </row>
    <row r="94" spans="2:5">
      <c r="B94" s="48" t="s">
        <v>12</v>
      </c>
      <c r="C94" s="48" t="s">
        <v>13</v>
      </c>
      <c r="D94" s="49">
        <v>45672</v>
      </c>
      <c r="E94" s="10">
        <v>142</v>
      </c>
    </row>
    <row r="95" spans="2:5">
      <c r="B95" s="48" t="s">
        <v>6</v>
      </c>
      <c r="C95" s="48" t="s">
        <v>7</v>
      </c>
      <c r="D95" s="49">
        <v>45672</v>
      </c>
      <c r="E95" s="10">
        <v>81</v>
      </c>
    </row>
    <row r="96" spans="2:5">
      <c r="B96" s="48" t="s">
        <v>8</v>
      </c>
      <c r="C96" s="48" t="s">
        <v>9</v>
      </c>
      <c r="D96" s="49">
        <v>45672</v>
      </c>
      <c r="E96" s="10">
        <v>80</v>
      </c>
    </row>
    <row r="97" spans="2:5">
      <c r="B97" s="48" t="s">
        <v>35</v>
      </c>
      <c r="C97" s="48" t="s">
        <v>36</v>
      </c>
      <c r="D97" s="49">
        <v>45672</v>
      </c>
      <c r="E97" s="10">
        <v>55</v>
      </c>
    </row>
    <row r="98" spans="2:5">
      <c r="B98" s="48" t="s">
        <v>37</v>
      </c>
      <c r="C98" s="48" t="s">
        <v>38</v>
      </c>
      <c r="D98" s="49">
        <v>45672</v>
      </c>
      <c r="E98" s="10">
        <v>32</v>
      </c>
    </row>
    <row r="99" spans="2:5">
      <c r="B99" s="48" t="s">
        <v>10</v>
      </c>
      <c r="C99" s="48" t="s">
        <v>11</v>
      </c>
      <c r="D99" s="49">
        <v>45672</v>
      </c>
      <c r="E99" s="10">
        <v>25</v>
      </c>
    </row>
    <row r="100" spans="2:5">
      <c r="B100" s="48" t="s">
        <v>16</v>
      </c>
      <c r="C100" s="48" t="s">
        <v>17</v>
      </c>
      <c r="D100" s="49">
        <v>45672</v>
      </c>
      <c r="E100" s="10">
        <v>14</v>
      </c>
    </row>
    <row r="101" spans="2:5">
      <c r="B101" s="48" t="s">
        <v>20</v>
      </c>
      <c r="C101" s="48" t="s">
        <v>21</v>
      </c>
      <c r="D101" s="49">
        <v>45672</v>
      </c>
      <c r="E101" s="10">
        <v>12</v>
      </c>
    </row>
    <row r="102" spans="2:5">
      <c r="B102" s="48" t="s">
        <v>31</v>
      </c>
      <c r="C102" s="48" t="s">
        <v>32</v>
      </c>
      <c r="D102" s="49">
        <v>45673</v>
      </c>
      <c r="E102" s="10">
        <v>329.2</v>
      </c>
    </row>
    <row r="103" spans="2:5">
      <c r="B103" s="48" t="s">
        <v>4</v>
      </c>
      <c r="C103" s="48" t="s">
        <v>5</v>
      </c>
      <c r="D103" s="49">
        <v>45673</v>
      </c>
      <c r="E103" s="10">
        <v>278.6</v>
      </c>
    </row>
    <row r="104" spans="2:5">
      <c r="B104" s="48" t="s">
        <v>12</v>
      </c>
      <c r="C104" s="48" t="s">
        <v>13</v>
      </c>
      <c r="D104" s="49">
        <v>45673</v>
      </c>
      <c r="E104" s="10">
        <v>182</v>
      </c>
    </row>
    <row r="105" spans="2:5">
      <c r="B105" s="48" t="s">
        <v>6</v>
      </c>
      <c r="C105" s="48" t="s">
        <v>7</v>
      </c>
      <c r="D105" s="49">
        <v>45673</v>
      </c>
      <c r="E105" s="10">
        <v>136</v>
      </c>
    </row>
    <row r="106" spans="2:5">
      <c r="B106" s="48" t="s">
        <v>14</v>
      </c>
      <c r="C106" s="48" t="s">
        <v>15</v>
      </c>
      <c r="D106" s="49">
        <v>45673</v>
      </c>
      <c r="E106" s="10">
        <v>92</v>
      </c>
    </row>
    <row r="107" spans="2:5">
      <c r="B107" s="48" t="s">
        <v>35</v>
      </c>
      <c r="C107" s="48" t="s">
        <v>36</v>
      </c>
      <c r="D107" s="49">
        <v>45673</v>
      </c>
      <c r="E107" s="10">
        <v>72</v>
      </c>
    </row>
    <row r="108" spans="2:5">
      <c r="B108" s="48" t="s">
        <v>10</v>
      </c>
      <c r="C108" s="48" t="s">
        <v>11</v>
      </c>
      <c r="D108" s="49">
        <v>45673</v>
      </c>
      <c r="E108" s="10">
        <v>69</v>
      </c>
    </row>
    <row r="109" spans="2:5">
      <c r="B109" s="48" t="s">
        <v>16</v>
      </c>
      <c r="C109" s="48" t="s">
        <v>17</v>
      </c>
      <c r="D109" s="49">
        <v>45673</v>
      </c>
      <c r="E109" s="10">
        <v>54</v>
      </c>
    </row>
    <row r="110" spans="2:5">
      <c r="B110" s="48" t="s">
        <v>20</v>
      </c>
      <c r="C110" s="48" t="s">
        <v>21</v>
      </c>
      <c r="D110" s="49">
        <v>45673</v>
      </c>
      <c r="E110" s="10">
        <v>51</v>
      </c>
    </row>
    <row r="111" spans="2:5">
      <c r="B111" s="48" t="s">
        <v>40</v>
      </c>
      <c r="C111" s="48" t="s">
        <v>41</v>
      </c>
      <c r="D111" s="49">
        <v>45673</v>
      </c>
      <c r="E111" s="10">
        <v>18</v>
      </c>
    </row>
    <row r="112" spans="2:5">
      <c r="B112" s="48" t="s">
        <v>8</v>
      </c>
      <c r="C112" s="48" t="s">
        <v>9</v>
      </c>
      <c r="D112" s="49">
        <v>45673</v>
      </c>
      <c r="E112" s="10">
        <v>18</v>
      </c>
    </row>
    <row r="113" spans="2:5">
      <c r="B113" s="48" t="s">
        <v>22</v>
      </c>
      <c r="C113" s="48" t="s">
        <v>23</v>
      </c>
      <c r="D113" s="49">
        <v>45673</v>
      </c>
      <c r="E113" s="10">
        <v>7</v>
      </c>
    </row>
    <row r="114" spans="2:5">
      <c r="B114" s="48" t="s">
        <v>33</v>
      </c>
      <c r="C114" s="48" t="s">
        <v>34</v>
      </c>
      <c r="D114" s="49">
        <v>45673</v>
      </c>
      <c r="E114" s="10">
        <v>5</v>
      </c>
    </row>
    <row r="115" spans="2:5">
      <c r="B115" s="48" t="s">
        <v>18</v>
      </c>
      <c r="C115" s="48" t="s">
        <v>19</v>
      </c>
      <c r="D115" s="49">
        <v>45673</v>
      </c>
      <c r="E115" s="10">
        <v>5</v>
      </c>
    </row>
    <row r="116" spans="2:5">
      <c r="B116" s="48" t="s">
        <v>24</v>
      </c>
      <c r="C116" s="48" t="s">
        <v>25</v>
      </c>
      <c r="D116" s="49">
        <v>45673</v>
      </c>
      <c r="E116" s="10">
        <v>2</v>
      </c>
    </row>
    <row r="117" spans="2:5">
      <c r="B117" s="48" t="s">
        <v>6</v>
      </c>
      <c r="C117" s="48" t="s">
        <v>7</v>
      </c>
      <c r="D117" s="49">
        <v>45674</v>
      </c>
      <c r="E117" s="10">
        <v>177</v>
      </c>
    </row>
    <row r="118" spans="2:5">
      <c r="B118" s="48" t="s">
        <v>8</v>
      </c>
      <c r="C118" s="48" t="s">
        <v>9</v>
      </c>
      <c r="D118" s="49">
        <v>45674</v>
      </c>
      <c r="E118" s="10">
        <v>106</v>
      </c>
    </row>
    <row r="119" spans="2:5">
      <c r="B119" s="48" t="s">
        <v>35</v>
      </c>
      <c r="C119" s="48" t="s">
        <v>36</v>
      </c>
      <c r="D119" s="49">
        <v>45674</v>
      </c>
      <c r="E119" s="10">
        <v>58</v>
      </c>
    </row>
    <row r="120" spans="2:5">
      <c r="B120" s="48" t="s">
        <v>37</v>
      </c>
      <c r="C120" s="48" t="s">
        <v>38</v>
      </c>
      <c r="D120" s="49">
        <v>45674</v>
      </c>
      <c r="E120" s="10">
        <v>53</v>
      </c>
    </row>
    <row r="121" spans="2:5">
      <c r="B121" s="48" t="s">
        <v>16</v>
      </c>
      <c r="C121" s="48" t="s">
        <v>17</v>
      </c>
      <c r="D121" s="49">
        <v>45674</v>
      </c>
      <c r="E121" s="10">
        <v>30</v>
      </c>
    </row>
    <row r="122" spans="2:5">
      <c r="B122" s="48" t="s">
        <v>12</v>
      </c>
      <c r="C122" s="48" t="s">
        <v>13</v>
      </c>
      <c r="D122" s="49">
        <v>45674</v>
      </c>
      <c r="E122" s="10">
        <v>23</v>
      </c>
    </row>
    <row r="123" spans="2:5">
      <c r="B123" s="48" t="s">
        <v>22</v>
      </c>
      <c r="C123" s="48" t="s">
        <v>23</v>
      </c>
      <c r="D123" s="49">
        <v>45674</v>
      </c>
      <c r="E123" s="10">
        <v>9</v>
      </c>
    </row>
    <row r="124" spans="2:5">
      <c r="B124" s="48" t="s">
        <v>24</v>
      </c>
      <c r="C124" s="48" t="s">
        <v>25</v>
      </c>
      <c r="D124" s="49">
        <v>45674</v>
      </c>
      <c r="E124" s="10">
        <v>8</v>
      </c>
    </row>
    <row r="125" spans="2:5">
      <c r="B125" s="48" t="s">
        <v>10</v>
      </c>
      <c r="C125" s="48" t="s">
        <v>11</v>
      </c>
      <c r="D125" s="49">
        <v>45674</v>
      </c>
      <c r="E125" s="10">
        <v>8</v>
      </c>
    </row>
    <row r="126" spans="2:5">
      <c r="B126" s="48" t="s">
        <v>18</v>
      </c>
      <c r="C126" s="48" t="s">
        <v>19</v>
      </c>
      <c r="D126" s="49">
        <v>45674</v>
      </c>
      <c r="E126" s="10">
        <v>2</v>
      </c>
    </row>
    <row r="127" spans="2:5">
      <c r="B127" s="48" t="s">
        <v>4</v>
      </c>
      <c r="C127" s="48" t="s">
        <v>5</v>
      </c>
      <c r="D127" s="49">
        <v>45677</v>
      </c>
      <c r="E127" s="10">
        <v>514.2</v>
      </c>
    </row>
    <row r="128" spans="2:5">
      <c r="B128" s="48" t="s">
        <v>12</v>
      </c>
      <c r="C128" s="48" t="s">
        <v>13</v>
      </c>
      <c r="D128" s="49">
        <v>45677</v>
      </c>
      <c r="E128" s="10">
        <v>312</v>
      </c>
    </row>
    <row r="129" spans="2:5">
      <c r="B129" s="48" t="s">
        <v>8</v>
      </c>
      <c r="C129" s="48" t="s">
        <v>9</v>
      </c>
      <c r="D129" s="49">
        <v>45677</v>
      </c>
      <c r="E129" s="10">
        <v>241</v>
      </c>
    </row>
    <row r="130" spans="2:5">
      <c r="B130" s="48" t="s">
        <v>6</v>
      </c>
      <c r="C130" s="48" t="s">
        <v>7</v>
      </c>
      <c r="D130" s="49">
        <v>45677</v>
      </c>
      <c r="E130" s="10">
        <v>168</v>
      </c>
    </row>
    <row r="131" spans="2:5">
      <c r="B131" s="48" t="s">
        <v>16</v>
      </c>
      <c r="C131" s="48" t="s">
        <v>17</v>
      </c>
      <c r="D131" s="49">
        <v>45677</v>
      </c>
      <c r="E131" s="10">
        <v>143</v>
      </c>
    </row>
    <row r="132" spans="2:5">
      <c r="B132" s="48" t="s">
        <v>37</v>
      </c>
      <c r="C132" s="48" t="s">
        <v>38</v>
      </c>
      <c r="D132" s="49">
        <v>45677</v>
      </c>
      <c r="E132" s="10">
        <v>55</v>
      </c>
    </row>
    <row r="133" spans="2:5">
      <c r="B133" s="48" t="s">
        <v>18</v>
      </c>
      <c r="C133" s="48" t="s">
        <v>19</v>
      </c>
      <c r="D133" s="49">
        <v>45677</v>
      </c>
      <c r="E133" s="10">
        <v>49</v>
      </c>
    </row>
    <row r="134" spans="2:5">
      <c r="B134" s="48" t="s">
        <v>31</v>
      </c>
      <c r="C134" s="48" t="s">
        <v>32</v>
      </c>
      <c r="D134" s="49">
        <v>45677</v>
      </c>
      <c r="E134" s="10">
        <v>39</v>
      </c>
    </row>
    <row r="135" spans="2:5">
      <c r="B135" s="48" t="s">
        <v>35</v>
      </c>
      <c r="C135" s="48" t="s">
        <v>36</v>
      </c>
      <c r="D135" s="49">
        <v>45677</v>
      </c>
      <c r="E135" s="10">
        <v>30</v>
      </c>
    </row>
    <row r="136" spans="2:5">
      <c r="B136" s="48" t="s">
        <v>10</v>
      </c>
      <c r="C136" s="48" t="s">
        <v>11</v>
      </c>
      <c r="D136" s="49">
        <v>45677</v>
      </c>
      <c r="E136" s="10">
        <v>7</v>
      </c>
    </row>
    <row r="137" spans="2:5">
      <c r="B137" s="48" t="s">
        <v>14</v>
      </c>
      <c r="C137" s="48" t="s">
        <v>15</v>
      </c>
      <c r="D137" s="49">
        <v>45677</v>
      </c>
      <c r="E137" s="10">
        <v>2</v>
      </c>
    </row>
    <row r="138" spans="2:5">
      <c r="B138" s="48" t="s">
        <v>4</v>
      </c>
      <c r="C138" s="48" t="s">
        <v>5</v>
      </c>
      <c r="D138" s="49">
        <v>45678</v>
      </c>
      <c r="E138" s="10">
        <v>635.3</v>
      </c>
    </row>
    <row r="139" spans="2:5">
      <c r="B139" s="48" t="s">
        <v>6</v>
      </c>
      <c r="C139" s="48" t="s">
        <v>7</v>
      </c>
      <c r="D139" s="49">
        <v>45678</v>
      </c>
      <c r="E139" s="10">
        <v>140</v>
      </c>
    </row>
    <row r="140" spans="2:5">
      <c r="B140" s="48" t="s">
        <v>16</v>
      </c>
      <c r="C140" s="48" t="s">
        <v>17</v>
      </c>
      <c r="D140" s="49">
        <v>45678</v>
      </c>
      <c r="E140" s="10">
        <v>138</v>
      </c>
    </row>
    <row r="141" spans="2:5">
      <c r="B141" s="48" t="s">
        <v>10</v>
      </c>
      <c r="C141" s="48" t="s">
        <v>11</v>
      </c>
      <c r="D141" s="49">
        <v>45678</v>
      </c>
      <c r="E141" s="10">
        <v>130</v>
      </c>
    </row>
    <row r="142" spans="2:5">
      <c r="B142" s="48" t="s">
        <v>12</v>
      </c>
      <c r="C142" s="48" t="s">
        <v>13</v>
      </c>
      <c r="D142" s="49">
        <v>45678</v>
      </c>
      <c r="E142" s="10">
        <v>127</v>
      </c>
    </row>
    <row r="143" spans="2:5">
      <c r="B143" s="48" t="s">
        <v>8</v>
      </c>
      <c r="C143" s="48" t="s">
        <v>9</v>
      </c>
      <c r="D143" s="49">
        <v>45678</v>
      </c>
      <c r="E143" s="10">
        <v>113</v>
      </c>
    </row>
    <row r="144" spans="2:5">
      <c r="B144" s="48" t="s">
        <v>35</v>
      </c>
      <c r="C144" s="48" t="s">
        <v>36</v>
      </c>
      <c r="D144" s="49">
        <v>45678</v>
      </c>
      <c r="E144" s="10">
        <v>28</v>
      </c>
    </row>
    <row r="145" spans="2:5">
      <c r="B145" s="48" t="s">
        <v>18</v>
      </c>
      <c r="C145" s="48" t="s">
        <v>19</v>
      </c>
      <c r="D145" s="49">
        <v>45678</v>
      </c>
      <c r="E145" s="10">
        <v>16</v>
      </c>
    </row>
    <row r="146" spans="2:5">
      <c r="B146" s="48" t="s">
        <v>33</v>
      </c>
      <c r="C146" s="48" t="s">
        <v>34</v>
      </c>
      <c r="D146" s="49">
        <v>45678</v>
      </c>
      <c r="E146" s="10">
        <v>10</v>
      </c>
    </row>
    <row r="147" spans="2:5">
      <c r="B147" s="48" t="s">
        <v>37</v>
      </c>
      <c r="C147" s="48" t="s">
        <v>38</v>
      </c>
      <c r="D147" s="49">
        <v>45678</v>
      </c>
      <c r="E147" s="10">
        <v>10</v>
      </c>
    </row>
    <row r="148" spans="2:5">
      <c r="B148" s="48" t="s">
        <v>24</v>
      </c>
      <c r="C148" s="48" t="s">
        <v>25</v>
      </c>
      <c r="D148" s="49">
        <v>45678</v>
      </c>
      <c r="E148" s="10">
        <v>6</v>
      </c>
    </row>
    <row r="149" spans="2:5">
      <c r="B149" s="48" t="s">
        <v>14</v>
      </c>
      <c r="C149" s="48" t="s">
        <v>15</v>
      </c>
      <c r="D149" s="49">
        <v>45678</v>
      </c>
      <c r="E149" s="10">
        <v>5</v>
      </c>
    </row>
    <row r="150" spans="2:5">
      <c r="B150" s="48" t="s">
        <v>20</v>
      </c>
      <c r="C150" s="48" t="s">
        <v>21</v>
      </c>
      <c r="D150" s="49">
        <v>45678</v>
      </c>
      <c r="E150" s="10">
        <v>5</v>
      </c>
    </row>
    <row r="151" spans="2:5">
      <c r="B151" s="48" t="s">
        <v>22</v>
      </c>
      <c r="C151" s="48" t="s">
        <v>23</v>
      </c>
      <c r="D151" s="49">
        <v>45678</v>
      </c>
      <c r="E151" s="10">
        <v>1</v>
      </c>
    </row>
    <row r="152" spans="2:5">
      <c r="B152" s="48" t="s">
        <v>31</v>
      </c>
      <c r="C152" s="48" t="s">
        <v>32</v>
      </c>
      <c r="D152" s="49">
        <v>45679</v>
      </c>
      <c r="E152" s="10">
        <v>625.5</v>
      </c>
    </row>
    <row r="153" spans="2:5">
      <c r="B153" s="48" t="s">
        <v>8</v>
      </c>
      <c r="C153" s="48" t="s">
        <v>9</v>
      </c>
      <c r="D153" s="49">
        <v>45679</v>
      </c>
      <c r="E153" s="10">
        <v>550</v>
      </c>
    </row>
    <row r="154" spans="2:5">
      <c r="B154" s="48" t="s">
        <v>4</v>
      </c>
      <c r="C154" s="48" t="s">
        <v>5</v>
      </c>
      <c r="D154" s="49">
        <v>45679</v>
      </c>
      <c r="E154" s="10">
        <v>473.9</v>
      </c>
    </row>
    <row r="155" spans="2:5">
      <c r="B155" s="48" t="s">
        <v>12</v>
      </c>
      <c r="C155" s="48" t="s">
        <v>13</v>
      </c>
      <c r="D155" s="49">
        <v>45679</v>
      </c>
      <c r="E155" s="10">
        <v>101</v>
      </c>
    </row>
    <row r="156" spans="2:5">
      <c r="B156" s="48" t="s">
        <v>16</v>
      </c>
      <c r="C156" s="48" t="s">
        <v>17</v>
      </c>
      <c r="D156" s="49">
        <v>45679</v>
      </c>
      <c r="E156" s="10">
        <v>75</v>
      </c>
    </row>
    <row r="157" spans="2:5">
      <c r="B157" s="48" t="s">
        <v>24</v>
      </c>
      <c r="C157" s="48" t="s">
        <v>25</v>
      </c>
      <c r="D157" s="49">
        <v>45679</v>
      </c>
      <c r="E157" s="10">
        <v>50</v>
      </c>
    </row>
    <row r="158" spans="2:5">
      <c r="B158" s="48" t="s">
        <v>42</v>
      </c>
      <c r="C158" s="48" t="s">
        <v>43</v>
      </c>
      <c r="D158" s="49">
        <v>45679</v>
      </c>
      <c r="E158" s="10">
        <v>49.6</v>
      </c>
    </row>
    <row r="159" spans="2:5">
      <c r="B159" s="48" t="s">
        <v>6</v>
      </c>
      <c r="C159" s="48" t="s">
        <v>7</v>
      </c>
      <c r="D159" s="49">
        <v>45679</v>
      </c>
      <c r="E159" s="10">
        <v>36</v>
      </c>
    </row>
    <row r="160" spans="2:5">
      <c r="B160" s="48" t="s">
        <v>18</v>
      </c>
      <c r="C160" s="48" t="s">
        <v>19</v>
      </c>
      <c r="D160" s="49">
        <v>45679</v>
      </c>
      <c r="E160" s="10">
        <v>16</v>
      </c>
    </row>
    <row r="161" spans="2:5">
      <c r="B161" s="48" t="s">
        <v>35</v>
      </c>
      <c r="C161" s="48" t="s">
        <v>36</v>
      </c>
      <c r="D161" s="49">
        <v>45679</v>
      </c>
      <c r="E161" s="10">
        <v>15</v>
      </c>
    </row>
    <row r="162" spans="2:5">
      <c r="B162" s="48" t="s">
        <v>14</v>
      </c>
      <c r="C162" s="48" t="s">
        <v>15</v>
      </c>
      <c r="D162" s="49">
        <v>45679</v>
      </c>
      <c r="E162" s="10">
        <v>15</v>
      </c>
    </row>
    <row r="163" spans="2:5">
      <c r="B163" s="48" t="s">
        <v>22</v>
      </c>
      <c r="C163" s="48" t="s">
        <v>23</v>
      </c>
      <c r="D163" s="49">
        <v>45679</v>
      </c>
      <c r="E163" s="10">
        <v>15</v>
      </c>
    </row>
    <row r="164" spans="2:5">
      <c r="B164" s="48" t="s">
        <v>37</v>
      </c>
      <c r="C164" s="48" t="s">
        <v>38</v>
      </c>
      <c r="D164" s="49">
        <v>45679</v>
      </c>
      <c r="E164" s="10">
        <v>9</v>
      </c>
    </row>
    <row r="165" spans="2:5">
      <c r="B165" s="48" t="s">
        <v>10</v>
      </c>
      <c r="C165" s="48" t="s">
        <v>11</v>
      </c>
      <c r="D165" s="49">
        <v>45679</v>
      </c>
      <c r="E165" s="10">
        <v>2</v>
      </c>
    </row>
    <row r="166" spans="2:5">
      <c r="B166" s="48" t="s">
        <v>4</v>
      </c>
      <c r="C166" s="48" t="s">
        <v>5</v>
      </c>
      <c r="D166" s="49">
        <v>45680</v>
      </c>
      <c r="E166" s="10">
        <v>2478.9</v>
      </c>
    </row>
    <row r="167" spans="2:5">
      <c r="B167" s="48" t="s">
        <v>12</v>
      </c>
      <c r="C167" s="48" t="s">
        <v>13</v>
      </c>
      <c r="D167" s="49">
        <v>45680</v>
      </c>
      <c r="E167" s="10">
        <v>257</v>
      </c>
    </row>
    <row r="168" spans="2:5">
      <c r="B168" s="48" t="s">
        <v>8</v>
      </c>
      <c r="C168" s="48" t="s">
        <v>9</v>
      </c>
      <c r="D168" s="49">
        <v>45680</v>
      </c>
      <c r="E168" s="10">
        <v>216</v>
      </c>
    </row>
    <row r="169" spans="2:5">
      <c r="B169" s="48" t="s">
        <v>16</v>
      </c>
      <c r="C169" s="48" t="s">
        <v>17</v>
      </c>
      <c r="D169" s="49">
        <v>45680</v>
      </c>
      <c r="E169" s="10">
        <v>186</v>
      </c>
    </row>
    <row r="170" spans="2:5">
      <c r="B170" s="48" t="s">
        <v>6</v>
      </c>
      <c r="C170" s="48" t="s">
        <v>7</v>
      </c>
      <c r="D170" s="49">
        <v>45680</v>
      </c>
      <c r="E170" s="10">
        <v>155</v>
      </c>
    </row>
    <row r="171" spans="2:5">
      <c r="B171" s="48" t="s">
        <v>37</v>
      </c>
      <c r="C171" s="48" t="s">
        <v>38</v>
      </c>
      <c r="D171" s="49">
        <v>45680</v>
      </c>
      <c r="E171" s="10">
        <v>102</v>
      </c>
    </row>
    <row r="172" spans="2:5">
      <c r="B172" s="48" t="s">
        <v>35</v>
      </c>
      <c r="C172" s="48" t="s">
        <v>36</v>
      </c>
      <c r="D172" s="49">
        <v>45680</v>
      </c>
      <c r="E172" s="10">
        <v>19</v>
      </c>
    </row>
    <row r="173" spans="2:5">
      <c r="B173" s="48" t="s">
        <v>29</v>
      </c>
      <c r="C173" s="48" t="s">
        <v>19</v>
      </c>
      <c r="D173" s="49">
        <v>45680</v>
      </c>
      <c r="E173" s="10">
        <v>10</v>
      </c>
    </row>
    <row r="174" spans="2:5">
      <c r="B174" s="48" t="s">
        <v>33</v>
      </c>
      <c r="C174" s="48" t="s">
        <v>34</v>
      </c>
      <c r="D174" s="49">
        <v>45680</v>
      </c>
      <c r="E174" s="10">
        <v>8</v>
      </c>
    </row>
    <row r="175" spans="2:5">
      <c r="B175" s="48" t="s">
        <v>10</v>
      </c>
      <c r="C175" s="48" t="s">
        <v>11</v>
      </c>
      <c r="D175" s="49">
        <v>45680</v>
      </c>
      <c r="E175" s="10">
        <v>6</v>
      </c>
    </row>
    <row r="176" spans="2:5">
      <c r="B176" s="48" t="s">
        <v>30</v>
      </c>
      <c r="C176" s="48" t="s">
        <v>25</v>
      </c>
      <c r="D176" s="49">
        <v>45680</v>
      </c>
      <c r="E176" s="10">
        <v>4</v>
      </c>
    </row>
    <row r="177" spans="2:5">
      <c r="B177" s="48" t="s">
        <v>4</v>
      </c>
      <c r="C177" s="48" t="s">
        <v>5</v>
      </c>
      <c r="D177" s="49">
        <v>45681</v>
      </c>
      <c r="E177" s="10">
        <v>892.6</v>
      </c>
    </row>
    <row r="178" spans="2:5">
      <c r="B178" s="48" t="s">
        <v>8</v>
      </c>
      <c r="C178" s="48" t="s">
        <v>9</v>
      </c>
      <c r="D178" s="49">
        <v>45681</v>
      </c>
      <c r="E178" s="10">
        <v>274</v>
      </c>
    </row>
    <row r="179" spans="2:5">
      <c r="B179" s="48" t="s">
        <v>12</v>
      </c>
      <c r="C179" s="48" t="s">
        <v>13</v>
      </c>
      <c r="D179" s="49">
        <v>45681</v>
      </c>
      <c r="E179" s="10">
        <v>108</v>
      </c>
    </row>
    <row r="180" spans="2:5">
      <c r="B180" s="48" t="s">
        <v>18</v>
      </c>
      <c r="C180" s="48" t="s">
        <v>19</v>
      </c>
      <c r="D180" s="49">
        <v>45681</v>
      </c>
      <c r="E180" s="10">
        <v>82</v>
      </c>
    </row>
    <row r="181" spans="2:5">
      <c r="B181" s="48" t="s">
        <v>16</v>
      </c>
      <c r="C181" s="48" t="s">
        <v>17</v>
      </c>
      <c r="D181" s="49">
        <v>45681</v>
      </c>
      <c r="E181" s="10">
        <v>51</v>
      </c>
    </row>
    <row r="182" spans="2:5">
      <c r="B182" s="48" t="s">
        <v>6</v>
      </c>
      <c r="C182" s="48" t="s">
        <v>7</v>
      </c>
      <c r="D182" s="49">
        <v>45681</v>
      </c>
      <c r="E182" s="10">
        <v>49</v>
      </c>
    </row>
    <row r="183" spans="2:5">
      <c r="B183" s="48" t="s">
        <v>14</v>
      </c>
      <c r="C183" s="48" t="s">
        <v>15</v>
      </c>
      <c r="D183" s="49">
        <v>45681</v>
      </c>
      <c r="E183" s="10">
        <v>39</v>
      </c>
    </row>
    <row r="184" spans="2:5">
      <c r="B184" s="48" t="s">
        <v>37</v>
      </c>
      <c r="C184" s="48" t="s">
        <v>38</v>
      </c>
      <c r="D184" s="49">
        <v>45681</v>
      </c>
      <c r="E184" s="10">
        <v>34</v>
      </c>
    </row>
    <row r="185" spans="2:5">
      <c r="B185" s="48" t="s">
        <v>10</v>
      </c>
      <c r="C185" s="48" t="s">
        <v>11</v>
      </c>
      <c r="D185" s="49">
        <v>45681</v>
      </c>
      <c r="E185" s="10">
        <v>21</v>
      </c>
    </row>
    <row r="186" spans="2:5">
      <c r="B186" s="48" t="s">
        <v>20</v>
      </c>
      <c r="C186" s="48" t="s">
        <v>21</v>
      </c>
      <c r="D186" s="49">
        <v>45681</v>
      </c>
      <c r="E186" s="10">
        <v>20</v>
      </c>
    </row>
    <row r="187" spans="2:5">
      <c r="B187" s="48" t="s">
        <v>35</v>
      </c>
      <c r="C187" s="48" t="s">
        <v>36</v>
      </c>
      <c r="D187" s="49">
        <v>45681</v>
      </c>
      <c r="E187" s="10">
        <v>13</v>
      </c>
    </row>
    <row r="188" spans="2:5">
      <c r="B188" s="48" t="s">
        <v>24</v>
      </c>
      <c r="C188" s="48" t="s">
        <v>25</v>
      </c>
      <c r="D188" s="49">
        <v>45681</v>
      </c>
      <c r="E188" s="10">
        <v>12</v>
      </c>
    </row>
    <row r="189" spans="2:5">
      <c r="B189" s="48" t="s">
        <v>33</v>
      </c>
      <c r="C189" s="48" t="s">
        <v>34</v>
      </c>
      <c r="D189" s="49">
        <v>45681</v>
      </c>
      <c r="E189" s="10">
        <v>12</v>
      </c>
    </row>
    <row r="190" spans="2:5">
      <c r="B190" s="48" t="s">
        <v>4</v>
      </c>
      <c r="C190" s="48" t="s">
        <v>5</v>
      </c>
      <c r="D190" s="49">
        <v>45684</v>
      </c>
      <c r="E190" s="10">
        <v>407.5</v>
      </c>
    </row>
    <row r="191" spans="2:5">
      <c r="B191" s="48" t="s">
        <v>6</v>
      </c>
      <c r="C191" s="48" t="s">
        <v>7</v>
      </c>
      <c r="D191" s="49">
        <v>45684</v>
      </c>
      <c r="E191" s="10">
        <v>213</v>
      </c>
    </row>
    <row r="192" spans="2:5">
      <c r="B192" s="48" t="s">
        <v>16</v>
      </c>
      <c r="C192" s="48" t="s">
        <v>17</v>
      </c>
      <c r="D192" s="49">
        <v>45684</v>
      </c>
      <c r="E192" s="10">
        <v>132</v>
      </c>
    </row>
    <row r="193" spans="2:5">
      <c r="B193" s="48" t="s">
        <v>12</v>
      </c>
      <c r="C193" s="48" t="s">
        <v>13</v>
      </c>
      <c r="D193" s="49">
        <v>45684</v>
      </c>
      <c r="E193" s="10">
        <v>95</v>
      </c>
    </row>
    <row r="194" spans="2:5">
      <c r="B194" s="48" t="s">
        <v>8</v>
      </c>
      <c r="C194" s="48" t="s">
        <v>9</v>
      </c>
      <c r="D194" s="49">
        <v>45684</v>
      </c>
      <c r="E194" s="10">
        <v>77</v>
      </c>
    </row>
    <row r="195" spans="2:5">
      <c r="B195" s="48" t="s">
        <v>35</v>
      </c>
      <c r="C195" s="48" t="s">
        <v>36</v>
      </c>
      <c r="D195" s="49">
        <v>45684</v>
      </c>
      <c r="E195" s="10">
        <v>35</v>
      </c>
    </row>
    <row r="196" spans="2:5">
      <c r="B196" s="48" t="s">
        <v>20</v>
      </c>
      <c r="C196" s="48" t="s">
        <v>21</v>
      </c>
      <c r="D196" s="49">
        <v>45684</v>
      </c>
      <c r="E196" s="10">
        <v>17</v>
      </c>
    </row>
    <row r="197" spans="2:5">
      <c r="B197" s="48" t="s">
        <v>10</v>
      </c>
      <c r="C197" s="48" t="s">
        <v>11</v>
      </c>
      <c r="D197" s="49">
        <v>45684</v>
      </c>
      <c r="E197" s="10">
        <v>17</v>
      </c>
    </row>
    <row r="198" spans="2:5">
      <c r="B198" s="48" t="s">
        <v>33</v>
      </c>
      <c r="C198" s="48" t="s">
        <v>34</v>
      </c>
      <c r="D198" s="49">
        <v>45684</v>
      </c>
      <c r="E198" s="10">
        <v>8</v>
      </c>
    </row>
    <row r="199" spans="2:5">
      <c r="B199" s="48" t="s">
        <v>24</v>
      </c>
      <c r="C199" s="48" t="s">
        <v>25</v>
      </c>
      <c r="D199" s="49">
        <v>45684</v>
      </c>
      <c r="E199" s="10">
        <v>8</v>
      </c>
    </row>
    <row r="200" spans="2:5">
      <c r="B200" s="48" t="s">
        <v>37</v>
      </c>
      <c r="C200" s="48" t="s">
        <v>38</v>
      </c>
      <c r="D200" s="49">
        <v>45684</v>
      </c>
      <c r="E200" s="10">
        <v>2</v>
      </c>
    </row>
    <row r="201" spans="2:5">
      <c r="B201" s="48" t="s">
        <v>8</v>
      </c>
      <c r="C201" s="48" t="s">
        <v>9</v>
      </c>
      <c r="D201" s="49">
        <v>45685</v>
      </c>
      <c r="E201" s="10">
        <v>329</v>
      </c>
    </row>
    <row r="202" spans="2:5">
      <c r="B202" s="48" t="s">
        <v>4</v>
      </c>
      <c r="C202" s="48" t="s">
        <v>5</v>
      </c>
      <c r="D202" s="49">
        <v>45685</v>
      </c>
      <c r="E202" s="10">
        <v>318.5</v>
      </c>
    </row>
    <row r="203" spans="2:5">
      <c r="B203" s="48" t="s">
        <v>6</v>
      </c>
      <c r="C203" s="48" t="s">
        <v>7</v>
      </c>
      <c r="D203" s="49">
        <v>45685</v>
      </c>
      <c r="E203" s="10">
        <v>164</v>
      </c>
    </row>
    <row r="204" spans="2:5">
      <c r="B204" s="48" t="s">
        <v>12</v>
      </c>
      <c r="C204" s="48" t="s">
        <v>13</v>
      </c>
      <c r="D204" s="49">
        <v>45685</v>
      </c>
      <c r="E204" s="10">
        <v>95</v>
      </c>
    </row>
    <row r="205" spans="2:5">
      <c r="B205" s="48" t="s">
        <v>20</v>
      </c>
      <c r="C205" s="48" t="s">
        <v>21</v>
      </c>
      <c r="D205" s="49">
        <v>45685</v>
      </c>
      <c r="E205" s="10">
        <v>6</v>
      </c>
    </row>
    <row r="206" spans="2:5">
      <c r="B206" s="48" t="s">
        <v>10</v>
      </c>
      <c r="C206" s="48" t="s">
        <v>11</v>
      </c>
      <c r="D206" s="49">
        <v>45685</v>
      </c>
      <c r="E206" s="10">
        <v>1</v>
      </c>
    </row>
    <row r="207" spans="2:5">
      <c r="B207" s="48" t="s">
        <v>22</v>
      </c>
      <c r="C207" s="48" t="s">
        <v>23</v>
      </c>
      <c r="D207" s="49">
        <v>45685</v>
      </c>
      <c r="E207" s="10">
        <v>1</v>
      </c>
    </row>
    <row r="208" spans="2:5">
      <c r="B208" s="48" t="s">
        <v>4</v>
      </c>
      <c r="C208" s="48" t="s">
        <v>5</v>
      </c>
      <c r="D208" s="49">
        <v>45686</v>
      </c>
      <c r="E208" s="10">
        <v>1444.9</v>
      </c>
    </row>
    <row r="209" spans="2:5">
      <c r="B209" s="48" t="s">
        <v>31</v>
      </c>
      <c r="C209" s="48" t="s">
        <v>32</v>
      </c>
      <c r="D209" s="49">
        <v>45686</v>
      </c>
      <c r="E209" s="10">
        <v>439.2</v>
      </c>
    </row>
    <row r="210" spans="2:5">
      <c r="B210" s="48" t="s">
        <v>8</v>
      </c>
      <c r="C210" s="48" t="s">
        <v>9</v>
      </c>
      <c r="D210" s="49">
        <v>45686</v>
      </c>
      <c r="E210" s="10">
        <v>398</v>
      </c>
    </row>
    <row r="211" spans="2:5">
      <c r="B211" s="48" t="s">
        <v>6</v>
      </c>
      <c r="C211" s="48" t="s">
        <v>7</v>
      </c>
      <c r="D211" s="49">
        <v>45686</v>
      </c>
      <c r="E211" s="10">
        <v>227</v>
      </c>
    </row>
    <row r="212" spans="2:5">
      <c r="B212" s="48" t="s">
        <v>12</v>
      </c>
      <c r="C212" s="48" t="s">
        <v>13</v>
      </c>
      <c r="D212" s="49">
        <v>45686</v>
      </c>
      <c r="E212" s="10">
        <v>117</v>
      </c>
    </row>
    <row r="213" spans="2:5">
      <c r="B213" s="48" t="s">
        <v>20</v>
      </c>
      <c r="C213" s="48" t="s">
        <v>21</v>
      </c>
      <c r="D213" s="49">
        <v>45686</v>
      </c>
      <c r="E213" s="10">
        <v>109</v>
      </c>
    </row>
    <row r="214" spans="2:5">
      <c r="B214" s="48" t="s">
        <v>16</v>
      </c>
      <c r="C214" s="48" t="s">
        <v>17</v>
      </c>
      <c r="D214" s="49">
        <v>45686</v>
      </c>
      <c r="E214" s="10">
        <v>61</v>
      </c>
    </row>
    <row r="215" spans="2:5">
      <c r="B215" s="48" t="s">
        <v>14</v>
      </c>
      <c r="C215" s="48" t="s">
        <v>15</v>
      </c>
      <c r="D215" s="49">
        <v>45686</v>
      </c>
      <c r="E215" s="10">
        <v>57</v>
      </c>
    </row>
    <row r="216" spans="2:5">
      <c r="B216" s="48" t="s">
        <v>37</v>
      </c>
      <c r="C216" s="48" t="s">
        <v>38</v>
      </c>
      <c r="D216" s="49">
        <v>45686</v>
      </c>
      <c r="E216" s="10">
        <v>57</v>
      </c>
    </row>
    <row r="217" spans="2:5">
      <c r="B217" s="48" t="s">
        <v>35</v>
      </c>
      <c r="C217" s="48" t="s">
        <v>36</v>
      </c>
      <c r="D217" s="49">
        <v>45686</v>
      </c>
      <c r="E217" s="10">
        <v>36</v>
      </c>
    </row>
    <row r="218" spans="2:5">
      <c r="B218" s="48" t="s">
        <v>24</v>
      </c>
      <c r="C218" s="48" t="s">
        <v>25</v>
      </c>
      <c r="D218" s="49">
        <v>45686</v>
      </c>
      <c r="E218" s="10">
        <v>36</v>
      </c>
    </row>
    <row r="219" spans="2:5">
      <c r="B219" s="48" t="s">
        <v>22</v>
      </c>
      <c r="C219" s="48" t="s">
        <v>23</v>
      </c>
      <c r="D219" s="49">
        <v>45686</v>
      </c>
      <c r="E219" s="10">
        <v>25</v>
      </c>
    </row>
    <row r="220" spans="2:5">
      <c r="B220" s="48" t="s">
        <v>18</v>
      </c>
      <c r="C220" s="48" t="s">
        <v>19</v>
      </c>
      <c r="D220" s="49">
        <v>45686</v>
      </c>
      <c r="E220" s="10">
        <v>17</v>
      </c>
    </row>
    <row r="221" spans="2:5">
      <c r="B221" s="48" t="s">
        <v>33</v>
      </c>
      <c r="C221" s="48" t="s">
        <v>34</v>
      </c>
      <c r="D221" s="49">
        <v>45686</v>
      </c>
      <c r="E221" s="10">
        <v>17</v>
      </c>
    </row>
    <row r="222" spans="2:5">
      <c r="B222" s="48" t="s">
        <v>10</v>
      </c>
      <c r="C222" s="48" t="s">
        <v>11</v>
      </c>
      <c r="D222" s="49">
        <v>45686</v>
      </c>
      <c r="E222" s="10">
        <v>11</v>
      </c>
    </row>
    <row r="223" spans="2:5">
      <c r="B223" s="48" t="s">
        <v>4</v>
      </c>
      <c r="C223" s="48" t="s">
        <v>5</v>
      </c>
      <c r="D223" s="49">
        <v>45687</v>
      </c>
      <c r="E223" s="10">
        <v>262.6</v>
      </c>
    </row>
    <row r="224" spans="2:5">
      <c r="B224" s="48" t="s">
        <v>24</v>
      </c>
      <c r="C224" s="48" t="s">
        <v>25</v>
      </c>
      <c r="D224" s="49">
        <v>45687</v>
      </c>
      <c r="E224" s="10">
        <v>207</v>
      </c>
    </row>
    <row r="225" spans="2:5">
      <c r="B225" s="48" t="s">
        <v>8</v>
      </c>
      <c r="C225" s="48" t="s">
        <v>9</v>
      </c>
      <c r="D225" s="49">
        <v>45687</v>
      </c>
      <c r="E225" s="10">
        <v>85</v>
      </c>
    </row>
    <row r="226" spans="2:5">
      <c r="B226" s="48" t="s">
        <v>20</v>
      </c>
      <c r="C226" s="48" t="s">
        <v>21</v>
      </c>
      <c r="D226" s="49">
        <v>45687</v>
      </c>
      <c r="E226" s="10">
        <v>63</v>
      </c>
    </row>
    <row r="227" spans="2:5">
      <c r="B227" s="48" t="s">
        <v>6</v>
      </c>
      <c r="C227" s="48" t="s">
        <v>7</v>
      </c>
      <c r="D227" s="49">
        <v>45687</v>
      </c>
      <c r="E227" s="10">
        <v>52</v>
      </c>
    </row>
    <row r="228" spans="2:5">
      <c r="B228" s="48" t="s">
        <v>31</v>
      </c>
      <c r="C228" s="48" t="s">
        <v>32</v>
      </c>
      <c r="D228" s="49">
        <v>45687</v>
      </c>
      <c r="E228" s="10">
        <v>46.2</v>
      </c>
    </row>
    <row r="229" spans="2:5">
      <c r="B229" s="48" t="s">
        <v>12</v>
      </c>
      <c r="C229" s="48" t="s">
        <v>13</v>
      </c>
      <c r="D229" s="49">
        <v>45687</v>
      </c>
      <c r="E229" s="10">
        <v>44</v>
      </c>
    </row>
    <row r="230" spans="2:5">
      <c r="B230" s="48" t="s">
        <v>16</v>
      </c>
      <c r="C230" s="48" t="s">
        <v>17</v>
      </c>
      <c r="D230" s="49">
        <v>45687</v>
      </c>
      <c r="E230" s="10">
        <v>40</v>
      </c>
    </row>
    <row r="231" spans="2:5">
      <c r="B231" s="48" t="s">
        <v>10</v>
      </c>
      <c r="C231" s="48" t="s">
        <v>11</v>
      </c>
      <c r="D231" s="49">
        <v>45687</v>
      </c>
      <c r="E231" s="10">
        <v>21</v>
      </c>
    </row>
    <row r="232" spans="2:5">
      <c r="B232" s="48" t="s">
        <v>33</v>
      </c>
      <c r="C232" s="48" t="s">
        <v>34</v>
      </c>
      <c r="D232" s="49">
        <v>45687</v>
      </c>
      <c r="E232" s="10">
        <v>21</v>
      </c>
    </row>
    <row r="233" spans="2:5">
      <c r="B233" s="48" t="s">
        <v>14</v>
      </c>
      <c r="C233" s="48" t="s">
        <v>15</v>
      </c>
      <c r="D233" s="49">
        <v>45687</v>
      </c>
      <c r="E233" s="10">
        <v>20</v>
      </c>
    </row>
    <row r="234" spans="2:5">
      <c r="B234" s="48" t="s">
        <v>35</v>
      </c>
      <c r="C234" s="48" t="s">
        <v>36</v>
      </c>
      <c r="D234" s="49">
        <v>45687</v>
      </c>
      <c r="E234" s="10">
        <v>13</v>
      </c>
    </row>
    <row r="235" spans="2:5">
      <c r="B235" s="48" t="s">
        <v>37</v>
      </c>
      <c r="C235" s="48" t="s">
        <v>38</v>
      </c>
      <c r="D235" s="49">
        <v>45687</v>
      </c>
      <c r="E235" s="10">
        <v>13</v>
      </c>
    </row>
    <row r="236" spans="2:5">
      <c r="B236" s="48" t="s">
        <v>44</v>
      </c>
      <c r="C236" s="48" t="s">
        <v>45</v>
      </c>
      <c r="D236" s="49">
        <v>45687</v>
      </c>
      <c r="E236" s="10">
        <v>8</v>
      </c>
    </row>
    <row r="237" spans="2:5">
      <c r="B237" s="48" t="s">
        <v>29</v>
      </c>
      <c r="C237" s="48" t="s">
        <v>19</v>
      </c>
      <c r="D237" s="49">
        <v>45687</v>
      </c>
      <c r="E237" s="10">
        <v>4</v>
      </c>
    </row>
    <row r="238" spans="2:5">
      <c r="B238" s="48" t="s">
        <v>46</v>
      </c>
      <c r="C238" s="48" t="s">
        <v>47</v>
      </c>
      <c r="D238" s="49">
        <v>45687</v>
      </c>
      <c r="E238" s="10">
        <v>1</v>
      </c>
    </row>
    <row r="239" spans="2:5">
      <c r="B239" s="48" t="s">
        <v>22</v>
      </c>
      <c r="C239" s="48" t="s">
        <v>23</v>
      </c>
      <c r="D239" s="49">
        <v>45687</v>
      </c>
      <c r="E239" s="10">
        <v>1</v>
      </c>
    </row>
    <row r="240" spans="2:5">
      <c r="B240" s="48" t="s">
        <v>4</v>
      </c>
      <c r="C240" s="48" t="s">
        <v>5</v>
      </c>
      <c r="D240" s="49">
        <v>45688</v>
      </c>
      <c r="E240" s="10">
        <v>1516.9</v>
      </c>
    </row>
    <row r="241" spans="2:5">
      <c r="B241" s="48" t="s">
        <v>12</v>
      </c>
      <c r="C241" s="48" t="s">
        <v>13</v>
      </c>
      <c r="D241" s="49">
        <v>45688</v>
      </c>
      <c r="E241" s="10">
        <v>163</v>
      </c>
    </row>
    <row r="242" spans="2:5">
      <c r="B242" s="48" t="s">
        <v>8</v>
      </c>
      <c r="C242" s="48" t="s">
        <v>9</v>
      </c>
      <c r="D242" s="49">
        <v>45688</v>
      </c>
      <c r="E242" s="10">
        <v>153</v>
      </c>
    </row>
    <row r="243" spans="2:5">
      <c r="B243" s="48" t="s">
        <v>16</v>
      </c>
      <c r="C243" s="48" t="s">
        <v>17</v>
      </c>
      <c r="D243" s="49">
        <v>45688</v>
      </c>
      <c r="E243" s="10">
        <v>151</v>
      </c>
    </row>
    <row r="244" spans="2:5">
      <c r="B244" s="48" t="s">
        <v>6</v>
      </c>
      <c r="C244" s="48" t="s">
        <v>7</v>
      </c>
      <c r="D244" s="49">
        <v>45688</v>
      </c>
      <c r="E244" s="10">
        <v>134</v>
      </c>
    </row>
    <row r="245" spans="2:5">
      <c r="B245" s="48" t="s">
        <v>24</v>
      </c>
      <c r="C245" s="48" t="s">
        <v>25</v>
      </c>
      <c r="D245" s="49">
        <v>45688</v>
      </c>
      <c r="E245" s="10">
        <v>39</v>
      </c>
    </row>
    <row r="246" spans="2:5">
      <c r="B246" s="48" t="s">
        <v>31</v>
      </c>
      <c r="C246" s="48" t="s">
        <v>32</v>
      </c>
      <c r="D246" s="49">
        <v>45688</v>
      </c>
      <c r="E246" s="10">
        <v>35</v>
      </c>
    </row>
    <row r="247" spans="2:5">
      <c r="B247" s="48" t="s">
        <v>37</v>
      </c>
      <c r="C247" s="48" t="s">
        <v>38</v>
      </c>
      <c r="D247" s="49">
        <v>45688</v>
      </c>
      <c r="E247" s="10">
        <v>21</v>
      </c>
    </row>
    <row r="248" spans="2:5">
      <c r="B248" s="48" t="s">
        <v>35</v>
      </c>
      <c r="C248" s="48" t="s">
        <v>36</v>
      </c>
      <c r="D248" s="49">
        <v>45688</v>
      </c>
      <c r="E248" s="10">
        <v>10</v>
      </c>
    </row>
    <row r="249" spans="2:5">
      <c r="B249" s="48" t="s">
        <v>10</v>
      </c>
      <c r="C249" s="48" t="s">
        <v>11</v>
      </c>
      <c r="D249" s="49">
        <v>45688</v>
      </c>
      <c r="E249" s="10">
        <v>9</v>
      </c>
    </row>
    <row r="250" spans="2:5">
      <c r="B250" s="48" t="s">
        <v>6</v>
      </c>
      <c r="C250" s="48" t="s">
        <v>7</v>
      </c>
      <c r="D250" s="49">
        <v>45691</v>
      </c>
      <c r="E250" s="10">
        <v>68</v>
      </c>
    </row>
    <row r="251" spans="2:5">
      <c r="B251" s="48" t="s">
        <v>8</v>
      </c>
      <c r="C251" s="48" t="s">
        <v>9</v>
      </c>
      <c r="D251" s="49">
        <v>45691</v>
      </c>
      <c r="E251" s="10">
        <v>56</v>
      </c>
    </row>
    <row r="252" spans="2:5">
      <c r="B252" s="48" t="s">
        <v>16</v>
      </c>
      <c r="C252" s="48" t="s">
        <v>17</v>
      </c>
      <c r="D252" s="49">
        <v>45691</v>
      </c>
      <c r="E252" s="10">
        <v>55</v>
      </c>
    </row>
    <row r="253" spans="2:5">
      <c r="B253" s="48" t="s">
        <v>12</v>
      </c>
      <c r="C253" s="48" t="s">
        <v>13</v>
      </c>
      <c r="D253" s="49">
        <v>45691</v>
      </c>
      <c r="E253" s="10">
        <v>30</v>
      </c>
    </row>
    <row r="254" spans="2:5">
      <c r="B254" s="48" t="s">
        <v>10</v>
      </c>
      <c r="C254" s="48" t="s">
        <v>11</v>
      </c>
      <c r="D254" s="49">
        <v>45691</v>
      </c>
      <c r="E254" s="10">
        <v>17</v>
      </c>
    </row>
    <row r="255" spans="2:5">
      <c r="B255" s="48" t="s">
        <v>14</v>
      </c>
      <c r="C255" s="48" t="s">
        <v>15</v>
      </c>
      <c r="D255" s="49">
        <v>45691</v>
      </c>
      <c r="E255" s="10">
        <v>7</v>
      </c>
    </row>
    <row r="256" spans="2:5">
      <c r="B256" s="48" t="s">
        <v>46</v>
      </c>
      <c r="C256" s="48" t="s">
        <v>47</v>
      </c>
      <c r="D256" s="49">
        <v>45691</v>
      </c>
      <c r="E256" s="10">
        <v>6</v>
      </c>
    </row>
    <row r="257" spans="2:5">
      <c r="B257" s="48" t="s">
        <v>35</v>
      </c>
      <c r="C257" s="48" t="s">
        <v>36</v>
      </c>
      <c r="D257" s="49">
        <v>45691</v>
      </c>
      <c r="E257" s="10">
        <v>5</v>
      </c>
    </row>
    <row r="258" spans="2:5">
      <c r="B258" s="48" t="s">
        <v>4</v>
      </c>
      <c r="C258" s="48" t="s">
        <v>5</v>
      </c>
      <c r="D258" s="49">
        <v>45692</v>
      </c>
      <c r="E258" s="10">
        <v>201.4</v>
      </c>
    </row>
    <row r="259" spans="2:5">
      <c r="B259" s="48" t="s">
        <v>8</v>
      </c>
      <c r="C259" s="48" t="s">
        <v>9</v>
      </c>
      <c r="D259" s="49">
        <v>45692</v>
      </c>
      <c r="E259" s="10">
        <v>133</v>
      </c>
    </row>
    <row r="260" spans="2:5">
      <c r="B260" s="48" t="s">
        <v>24</v>
      </c>
      <c r="C260" s="48" t="s">
        <v>25</v>
      </c>
      <c r="D260" s="49">
        <v>45692</v>
      </c>
      <c r="E260" s="10">
        <v>84</v>
      </c>
    </row>
    <row r="261" spans="2:5">
      <c r="B261" s="48" t="s">
        <v>6</v>
      </c>
      <c r="C261" s="48" t="s">
        <v>7</v>
      </c>
      <c r="D261" s="49">
        <v>45692</v>
      </c>
      <c r="E261" s="10">
        <v>77</v>
      </c>
    </row>
    <row r="262" spans="2:5">
      <c r="B262" s="48" t="s">
        <v>16</v>
      </c>
      <c r="C262" s="48" t="s">
        <v>17</v>
      </c>
      <c r="D262" s="49">
        <v>45692</v>
      </c>
      <c r="E262" s="10">
        <v>57</v>
      </c>
    </row>
    <row r="263" spans="2:5">
      <c r="B263" s="48" t="s">
        <v>14</v>
      </c>
      <c r="C263" s="48" t="s">
        <v>15</v>
      </c>
      <c r="D263" s="49">
        <v>45692</v>
      </c>
      <c r="E263" s="10">
        <v>53</v>
      </c>
    </row>
    <row r="264" spans="2:5">
      <c r="B264" s="48" t="s">
        <v>12</v>
      </c>
      <c r="C264" s="48" t="s">
        <v>13</v>
      </c>
      <c r="D264" s="49">
        <v>45692</v>
      </c>
      <c r="E264" s="10">
        <v>28</v>
      </c>
    </row>
    <row r="265" spans="2:5">
      <c r="B265" s="48" t="s">
        <v>37</v>
      </c>
      <c r="C265" s="48" t="s">
        <v>38</v>
      </c>
      <c r="D265" s="49">
        <v>45692</v>
      </c>
      <c r="E265" s="10">
        <v>24</v>
      </c>
    </row>
    <row r="266" spans="2:5">
      <c r="B266" s="48" t="s">
        <v>20</v>
      </c>
      <c r="C266" s="48" t="s">
        <v>21</v>
      </c>
      <c r="D266" s="49">
        <v>45692</v>
      </c>
      <c r="E266" s="10">
        <v>18</v>
      </c>
    </row>
    <row r="267" spans="2:5">
      <c r="B267" s="48" t="s">
        <v>18</v>
      </c>
      <c r="C267" s="48" t="s">
        <v>19</v>
      </c>
      <c r="D267" s="49">
        <v>45692</v>
      </c>
      <c r="E267" s="10">
        <v>15</v>
      </c>
    </row>
    <row r="268" spans="2:5">
      <c r="B268" s="48" t="s">
        <v>33</v>
      </c>
      <c r="C268" s="48" t="s">
        <v>34</v>
      </c>
      <c r="D268" s="49">
        <v>45692</v>
      </c>
      <c r="E268" s="10">
        <v>9</v>
      </c>
    </row>
    <row r="269" spans="2:5">
      <c r="B269" s="48" t="s">
        <v>10</v>
      </c>
      <c r="C269" s="48" t="s">
        <v>11</v>
      </c>
      <c r="D269" s="49">
        <v>45692</v>
      </c>
      <c r="E269" s="10">
        <v>6</v>
      </c>
    </row>
    <row r="270" spans="2:5">
      <c r="B270" s="48" t="s">
        <v>8</v>
      </c>
      <c r="C270" s="48" t="s">
        <v>9</v>
      </c>
      <c r="D270" s="49">
        <v>45693</v>
      </c>
      <c r="E270" s="10">
        <v>83</v>
      </c>
    </row>
    <row r="271" spans="2:5">
      <c r="B271" s="48" t="s">
        <v>4</v>
      </c>
      <c r="C271" s="48" t="s">
        <v>5</v>
      </c>
      <c r="D271" s="49">
        <v>45693</v>
      </c>
      <c r="E271" s="10">
        <v>76.5</v>
      </c>
    </row>
    <row r="272" spans="2:5">
      <c r="B272" s="48" t="s">
        <v>12</v>
      </c>
      <c r="C272" s="48" t="s">
        <v>13</v>
      </c>
      <c r="D272" s="49">
        <v>45693</v>
      </c>
      <c r="E272" s="10">
        <v>62</v>
      </c>
    </row>
    <row r="273" spans="2:5">
      <c r="B273" s="48" t="s">
        <v>6</v>
      </c>
      <c r="C273" s="48" t="s">
        <v>7</v>
      </c>
      <c r="D273" s="49">
        <v>45693</v>
      </c>
      <c r="E273" s="10">
        <v>43</v>
      </c>
    </row>
    <row r="274" spans="2:5">
      <c r="B274" s="48" t="s">
        <v>10</v>
      </c>
      <c r="C274" s="48" t="s">
        <v>11</v>
      </c>
      <c r="D274" s="49">
        <v>45693</v>
      </c>
      <c r="E274" s="10">
        <v>35</v>
      </c>
    </row>
    <row r="275" spans="2:5">
      <c r="B275" s="48" t="s">
        <v>16</v>
      </c>
      <c r="C275" s="48" t="s">
        <v>17</v>
      </c>
      <c r="D275" s="49">
        <v>45693</v>
      </c>
      <c r="E275" s="10">
        <v>21</v>
      </c>
    </row>
    <row r="276" spans="2:5">
      <c r="B276" s="48" t="s">
        <v>20</v>
      </c>
      <c r="C276" s="48" t="s">
        <v>21</v>
      </c>
      <c r="D276" s="49">
        <v>45693</v>
      </c>
      <c r="E276" s="10">
        <v>17</v>
      </c>
    </row>
    <row r="277" spans="2:5">
      <c r="B277" s="48" t="s">
        <v>37</v>
      </c>
      <c r="C277" s="48" t="s">
        <v>38</v>
      </c>
      <c r="D277" s="49">
        <v>45693</v>
      </c>
      <c r="E277" s="10">
        <v>17</v>
      </c>
    </row>
    <row r="278" spans="2:5">
      <c r="B278" s="48" t="s">
        <v>24</v>
      </c>
      <c r="C278" s="48" t="s">
        <v>25</v>
      </c>
      <c r="D278" s="49">
        <v>45693</v>
      </c>
      <c r="E278" s="10">
        <v>5</v>
      </c>
    </row>
    <row r="279" spans="2:5">
      <c r="B279" s="48" t="s">
        <v>22</v>
      </c>
      <c r="C279" s="48" t="s">
        <v>23</v>
      </c>
      <c r="D279" s="49">
        <v>45693</v>
      </c>
      <c r="E279" s="10">
        <v>5</v>
      </c>
    </row>
    <row r="280" spans="2:5">
      <c r="B280" s="48" t="s">
        <v>8</v>
      </c>
      <c r="C280" s="48" t="s">
        <v>9</v>
      </c>
      <c r="D280" s="49">
        <v>45694</v>
      </c>
      <c r="E280" s="10">
        <v>195</v>
      </c>
    </row>
    <row r="281" spans="2:5">
      <c r="B281" s="48" t="s">
        <v>4</v>
      </c>
      <c r="C281" s="48" t="s">
        <v>5</v>
      </c>
      <c r="D281" s="49">
        <v>45694</v>
      </c>
      <c r="E281" s="10">
        <v>170.9</v>
      </c>
    </row>
    <row r="282" spans="2:5">
      <c r="B282" s="48" t="s">
        <v>12</v>
      </c>
      <c r="C282" s="48" t="s">
        <v>13</v>
      </c>
      <c r="D282" s="49">
        <v>45694</v>
      </c>
      <c r="E282" s="10">
        <v>67</v>
      </c>
    </row>
    <row r="283" spans="2:5">
      <c r="B283" s="48" t="s">
        <v>6</v>
      </c>
      <c r="C283" s="48" t="s">
        <v>7</v>
      </c>
      <c r="D283" s="49">
        <v>45694</v>
      </c>
      <c r="E283" s="10">
        <v>43</v>
      </c>
    </row>
    <row r="284" spans="2:5">
      <c r="B284" s="48" t="s">
        <v>16</v>
      </c>
      <c r="C284" s="48" t="s">
        <v>17</v>
      </c>
      <c r="D284" s="49">
        <v>45694</v>
      </c>
      <c r="E284" s="10">
        <v>17</v>
      </c>
    </row>
    <row r="285" spans="2:5">
      <c r="B285" s="48" t="s">
        <v>14</v>
      </c>
      <c r="C285" s="48" t="s">
        <v>15</v>
      </c>
      <c r="D285" s="49">
        <v>45694</v>
      </c>
      <c r="E285" s="10">
        <v>13</v>
      </c>
    </row>
    <row r="286" spans="2:5">
      <c r="B286" s="48" t="s">
        <v>24</v>
      </c>
      <c r="C286" s="48" t="s">
        <v>25</v>
      </c>
      <c r="D286" s="49">
        <v>45694</v>
      </c>
      <c r="E286" s="10">
        <v>13</v>
      </c>
    </row>
    <row r="287" spans="2:5">
      <c r="B287" s="48" t="s">
        <v>35</v>
      </c>
      <c r="C287" s="48" t="s">
        <v>36</v>
      </c>
      <c r="D287" s="49">
        <v>45694</v>
      </c>
      <c r="E287" s="10">
        <v>10</v>
      </c>
    </row>
    <row r="288" spans="2:5">
      <c r="B288" s="48" t="s">
        <v>33</v>
      </c>
      <c r="C288" s="48" t="s">
        <v>34</v>
      </c>
      <c r="D288" s="49">
        <v>45694</v>
      </c>
      <c r="E288" s="10">
        <v>8</v>
      </c>
    </row>
    <row r="289" spans="2:5">
      <c r="B289" s="48" t="s">
        <v>20</v>
      </c>
      <c r="C289" s="48" t="s">
        <v>21</v>
      </c>
      <c r="D289" s="49">
        <v>45694</v>
      </c>
      <c r="E289" s="10">
        <v>8</v>
      </c>
    </row>
    <row r="290" spans="2:5">
      <c r="B290" s="48" t="s">
        <v>10</v>
      </c>
      <c r="C290" s="48" t="s">
        <v>11</v>
      </c>
      <c r="D290" s="49">
        <v>45694</v>
      </c>
      <c r="E290" s="10">
        <v>4</v>
      </c>
    </row>
    <row r="291" spans="2:5">
      <c r="B291" s="48" t="s">
        <v>22</v>
      </c>
      <c r="C291" s="48" t="s">
        <v>23</v>
      </c>
      <c r="D291" s="49">
        <v>45694</v>
      </c>
      <c r="E291" s="10">
        <v>1</v>
      </c>
    </row>
    <row r="292" spans="2:5">
      <c r="B292" s="48" t="s">
        <v>8</v>
      </c>
      <c r="C292" s="48" t="s">
        <v>9</v>
      </c>
      <c r="D292" s="49">
        <v>45695</v>
      </c>
      <c r="E292" s="10">
        <v>401</v>
      </c>
    </row>
    <row r="293" spans="2:5">
      <c r="B293" s="48" t="s">
        <v>4</v>
      </c>
      <c r="C293" s="48" t="s">
        <v>5</v>
      </c>
      <c r="D293" s="49">
        <v>45695</v>
      </c>
      <c r="E293" s="10">
        <v>276.9</v>
      </c>
    </row>
    <row r="294" spans="2:5">
      <c r="B294" s="48" t="s">
        <v>24</v>
      </c>
      <c r="C294" s="48" t="s">
        <v>25</v>
      </c>
      <c r="D294" s="49">
        <v>45695</v>
      </c>
      <c r="E294" s="10">
        <v>164</v>
      </c>
    </row>
    <row r="295" spans="2:5">
      <c r="B295" s="48" t="s">
        <v>12</v>
      </c>
      <c r="C295" s="48" t="s">
        <v>13</v>
      </c>
      <c r="D295" s="49">
        <v>45695</v>
      </c>
      <c r="E295" s="10">
        <v>91</v>
      </c>
    </row>
    <row r="296" spans="2:5">
      <c r="B296" s="48" t="s">
        <v>6</v>
      </c>
      <c r="C296" s="48" t="s">
        <v>7</v>
      </c>
      <c r="D296" s="49">
        <v>45695</v>
      </c>
      <c r="E296" s="10">
        <v>58</v>
      </c>
    </row>
    <row r="297" spans="2:5">
      <c r="B297" s="48" t="s">
        <v>10</v>
      </c>
      <c r="C297" s="48" t="s">
        <v>11</v>
      </c>
      <c r="D297" s="49">
        <v>45695</v>
      </c>
      <c r="E297" s="10">
        <v>53</v>
      </c>
    </row>
    <row r="298" spans="2:5">
      <c r="B298" s="48" t="s">
        <v>35</v>
      </c>
      <c r="C298" s="48" t="s">
        <v>36</v>
      </c>
      <c r="D298" s="49">
        <v>45695</v>
      </c>
      <c r="E298" s="10">
        <v>27</v>
      </c>
    </row>
    <row r="299" spans="2:5">
      <c r="B299" s="48" t="s">
        <v>14</v>
      </c>
      <c r="C299" s="48" t="s">
        <v>15</v>
      </c>
      <c r="D299" s="49">
        <v>45695</v>
      </c>
      <c r="E299" s="10">
        <v>12</v>
      </c>
    </row>
    <row r="300" spans="2:5">
      <c r="B300" s="48" t="s">
        <v>33</v>
      </c>
      <c r="C300" s="48" t="s">
        <v>34</v>
      </c>
      <c r="D300" s="49">
        <v>45695</v>
      </c>
      <c r="E300" s="10">
        <v>8</v>
      </c>
    </row>
    <row r="301" spans="2:5">
      <c r="B301" s="48" t="s">
        <v>18</v>
      </c>
      <c r="C301" s="48" t="s">
        <v>19</v>
      </c>
      <c r="D301" s="49">
        <v>45695</v>
      </c>
      <c r="E301" s="10">
        <v>8</v>
      </c>
    </row>
    <row r="302" spans="2:5">
      <c r="B302" s="48" t="s">
        <v>16</v>
      </c>
      <c r="C302" s="48" t="s">
        <v>17</v>
      </c>
      <c r="D302" s="49">
        <v>45695</v>
      </c>
      <c r="E302" s="10">
        <v>8</v>
      </c>
    </row>
    <row r="303" spans="2:5">
      <c r="B303" s="48" t="s">
        <v>20</v>
      </c>
      <c r="C303" s="48" t="s">
        <v>21</v>
      </c>
      <c r="D303" s="49">
        <v>45695</v>
      </c>
      <c r="E303" s="10">
        <v>7</v>
      </c>
    </row>
    <row r="304" spans="2:5">
      <c r="B304" s="48" t="s">
        <v>22</v>
      </c>
      <c r="C304" s="48" t="s">
        <v>23</v>
      </c>
      <c r="D304" s="49">
        <v>45695</v>
      </c>
      <c r="E304" s="10">
        <v>4</v>
      </c>
    </row>
    <row r="305" spans="2:5">
      <c r="B305" s="48" t="s">
        <v>8</v>
      </c>
      <c r="C305" s="48" t="s">
        <v>9</v>
      </c>
      <c r="D305" s="49">
        <v>45698</v>
      </c>
      <c r="E305" s="10">
        <v>281</v>
      </c>
    </row>
    <row r="306" spans="2:5">
      <c r="B306" s="48" t="s">
        <v>12</v>
      </c>
      <c r="C306" s="48" t="s">
        <v>13</v>
      </c>
      <c r="D306" s="49">
        <v>45698</v>
      </c>
      <c r="E306" s="10">
        <v>168</v>
      </c>
    </row>
    <row r="307" spans="2:5">
      <c r="B307" s="48" t="s">
        <v>4</v>
      </c>
      <c r="C307" s="48" t="s">
        <v>5</v>
      </c>
      <c r="D307" s="49">
        <v>45698</v>
      </c>
      <c r="E307" s="10">
        <v>160.9</v>
      </c>
    </row>
    <row r="308" spans="2:5">
      <c r="B308" s="48" t="s">
        <v>16</v>
      </c>
      <c r="C308" s="48" t="s">
        <v>17</v>
      </c>
      <c r="D308" s="49">
        <v>45698</v>
      </c>
      <c r="E308" s="10">
        <v>60</v>
      </c>
    </row>
    <row r="309" spans="2:5">
      <c r="B309" s="48" t="s">
        <v>6</v>
      </c>
      <c r="C309" s="48" t="s">
        <v>7</v>
      </c>
      <c r="D309" s="49">
        <v>45698</v>
      </c>
      <c r="E309" s="10">
        <v>43</v>
      </c>
    </row>
    <row r="310" spans="2:5">
      <c r="B310" s="48" t="s">
        <v>35</v>
      </c>
      <c r="C310" s="48" t="s">
        <v>36</v>
      </c>
      <c r="D310" s="49">
        <v>45698</v>
      </c>
      <c r="E310" s="10">
        <v>29</v>
      </c>
    </row>
    <row r="311" spans="2:5">
      <c r="B311" s="48" t="s">
        <v>10</v>
      </c>
      <c r="C311" s="48" t="s">
        <v>11</v>
      </c>
      <c r="D311" s="49">
        <v>45698</v>
      </c>
      <c r="E311" s="10">
        <v>26</v>
      </c>
    </row>
    <row r="312" spans="2:5">
      <c r="B312" s="48" t="s">
        <v>14</v>
      </c>
      <c r="C312" s="48" t="s">
        <v>15</v>
      </c>
      <c r="D312" s="49">
        <v>45698</v>
      </c>
      <c r="E312" s="10">
        <v>16</v>
      </c>
    </row>
    <row r="313" spans="2:5">
      <c r="B313" s="48" t="s">
        <v>33</v>
      </c>
      <c r="C313" s="48" t="s">
        <v>34</v>
      </c>
      <c r="D313" s="49">
        <v>45698</v>
      </c>
      <c r="E313" s="10">
        <v>12</v>
      </c>
    </row>
    <row r="314" spans="2:5">
      <c r="B314" s="48" t="s">
        <v>22</v>
      </c>
      <c r="C314" s="48" t="s">
        <v>23</v>
      </c>
      <c r="D314" s="49">
        <v>45698</v>
      </c>
      <c r="E314" s="10">
        <v>3</v>
      </c>
    </row>
    <row r="315" spans="2:5">
      <c r="B315" s="48" t="s">
        <v>4</v>
      </c>
      <c r="C315" s="48" t="s">
        <v>5</v>
      </c>
      <c r="D315" s="49">
        <v>45699</v>
      </c>
      <c r="E315" s="10">
        <v>378.4</v>
      </c>
    </row>
    <row r="316" spans="2:5">
      <c r="B316" s="48" t="s">
        <v>8</v>
      </c>
      <c r="C316" s="48" t="s">
        <v>9</v>
      </c>
      <c r="D316" s="49">
        <v>45699</v>
      </c>
      <c r="E316" s="10">
        <v>298</v>
      </c>
    </row>
    <row r="317" spans="2:5">
      <c r="B317" s="48" t="s">
        <v>12</v>
      </c>
      <c r="C317" s="48" t="s">
        <v>13</v>
      </c>
      <c r="D317" s="49">
        <v>45699</v>
      </c>
      <c r="E317" s="10">
        <v>171</v>
      </c>
    </row>
    <row r="318" spans="2:5">
      <c r="B318" s="48" t="s">
        <v>16</v>
      </c>
      <c r="C318" s="48" t="s">
        <v>17</v>
      </c>
      <c r="D318" s="49">
        <v>45699</v>
      </c>
      <c r="E318" s="10">
        <v>170</v>
      </c>
    </row>
    <row r="319" spans="2:5">
      <c r="B319" s="48" t="s">
        <v>35</v>
      </c>
      <c r="C319" s="48" t="s">
        <v>36</v>
      </c>
      <c r="D319" s="49">
        <v>45699</v>
      </c>
      <c r="E319" s="10">
        <v>102</v>
      </c>
    </row>
    <row r="320" spans="2:5">
      <c r="B320" s="48" t="s">
        <v>6</v>
      </c>
      <c r="C320" s="48" t="s">
        <v>7</v>
      </c>
      <c r="D320" s="49">
        <v>45699</v>
      </c>
      <c r="E320" s="10">
        <v>98</v>
      </c>
    </row>
    <row r="321" spans="2:5">
      <c r="B321" s="48" t="s">
        <v>31</v>
      </c>
      <c r="C321" s="48" t="s">
        <v>32</v>
      </c>
      <c r="D321" s="49">
        <v>45699</v>
      </c>
      <c r="E321" s="10">
        <v>66</v>
      </c>
    </row>
    <row r="322" spans="2:5">
      <c r="B322" s="48" t="s">
        <v>24</v>
      </c>
      <c r="C322" s="48" t="s">
        <v>25</v>
      </c>
      <c r="D322" s="49">
        <v>45699</v>
      </c>
      <c r="E322" s="10">
        <v>52</v>
      </c>
    </row>
    <row r="323" spans="2:5">
      <c r="B323" s="48" t="s">
        <v>10</v>
      </c>
      <c r="C323" s="48" t="s">
        <v>11</v>
      </c>
      <c r="D323" s="49">
        <v>45699</v>
      </c>
      <c r="E323" s="10">
        <v>51</v>
      </c>
    </row>
    <row r="324" spans="2:5">
      <c r="B324" s="48" t="s">
        <v>18</v>
      </c>
      <c r="C324" s="48" t="s">
        <v>19</v>
      </c>
      <c r="D324" s="49">
        <v>45699</v>
      </c>
      <c r="E324" s="10">
        <v>41</v>
      </c>
    </row>
    <row r="325" spans="2:5">
      <c r="B325" s="48" t="s">
        <v>22</v>
      </c>
      <c r="C325" s="48" t="s">
        <v>23</v>
      </c>
      <c r="D325" s="49">
        <v>45699</v>
      </c>
      <c r="E325" s="10">
        <v>21</v>
      </c>
    </row>
    <row r="326" spans="2:5">
      <c r="B326" s="48" t="s">
        <v>37</v>
      </c>
      <c r="C326" s="48" t="s">
        <v>38</v>
      </c>
      <c r="D326" s="49">
        <v>45699</v>
      </c>
      <c r="E326" s="10">
        <v>16</v>
      </c>
    </row>
    <row r="327" spans="2:5">
      <c r="B327" s="48" t="s">
        <v>12</v>
      </c>
      <c r="C327" s="48" t="s">
        <v>13</v>
      </c>
      <c r="D327" s="49">
        <v>45700</v>
      </c>
      <c r="E327" s="10">
        <v>429</v>
      </c>
    </row>
    <row r="328" spans="2:5">
      <c r="B328" s="48" t="s">
        <v>4</v>
      </c>
      <c r="C328" s="48" t="s">
        <v>5</v>
      </c>
      <c r="D328" s="49">
        <v>45700</v>
      </c>
      <c r="E328" s="10">
        <v>424.8</v>
      </c>
    </row>
    <row r="329" spans="2:5">
      <c r="B329" s="48" t="s">
        <v>35</v>
      </c>
      <c r="C329" s="48" t="s">
        <v>36</v>
      </c>
      <c r="D329" s="49">
        <v>45700</v>
      </c>
      <c r="E329" s="10">
        <v>302</v>
      </c>
    </row>
    <row r="330" spans="2:5">
      <c r="B330" s="48" t="s">
        <v>8</v>
      </c>
      <c r="C330" s="48" t="s">
        <v>9</v>
      </c>
      <c r="D330" s="49">
        <v>45700</v>
      </c>
      <c r="E330" s="10">
        <v>255</v>
      </c>
    </row>
    <row r="331" spans="2:5">
      <c r="B331" s="48" t="s">
        <v>6</v>
      </c>
      <c r="C331" s="48" t="s">
        <v>7</v>
      </c>
      <c r="D331" s="49">
        <v>45700</v>
      </c>
      <c r="E331" s="10">
        <v>242</v>
      </c>
    </row>
    <row r="332" spans="2:5">
      <c r="B332" s="48" t="s">
        <v>16</v>
      </c>
      <c r="C332" s="48" t="s">
        <v>17</v>
      </c>
      <c r="D332" s="49">
        <v>45700</v>
      </c>
      <c r="E332" s="10">
        <v>113</v>
      </c>
    </row>
    <row r="333" spans="2:5">
      <c r="B333" s="48" t="s">
        <v>10</v>
      </c>
      <c r="C333" s="48" t="s">
        <v>11</v>
      </c>
      <c r="D333" s="49">
        <v>45700</v>
      </c>
      <c r="E333" s="10">
        <v>35</v>
      </c>
    </row>
    <row r="334" spans="2:5">
      <c r="B334" s="48" t="s">
        <v>37</v>
      </c>
      <c r="C334" s="48" t="s">
        <v>38</v>
      </c>
      <c r="D334" s="49">
        <v>45700</v>
      </c>
      <c r="E334" s="10">
        <v>17</v>
      </c>
    </row>
    <row r="335" spans="2:5">
      <c r="B335" s="48" t="s">
        <v>18</v>
      </c>
      <c r="C335" s="48" t="s">
        <v>19</v>
      </c>
      <c r="D335" s="49">
        <v>45700</v>
      </c>
      <c r="E335" s="10">
        <v>5</v>
      </c>
    </row>
    <row r="336" spans="2:5">
      <c r="B336" s="48" t="s">
        <v>4</v>
      </c>
      <c r="C336" s="48" t="s">
        <v>5</v>
      </c>
      <c r="D336" s="49">
        <v>45701</v>
      </c>
      <c r="E336" s="10">
        <v>1204.5</v>
      </c>
    </row>
    <row r="337" spans="2:5">
      <c r="B337" s="48" t="s">
        <v>31</v>
      </c>
      <c r="C337" s="48" t="s">
        <v>32</v>
      </c>
      <c r="D337" s="49">
        <v>45701</v>
      </c>
      <c r="E337" s="10">
        <v>546</v>
      </c>
    </row>
    <row r="338" spans="2:5">
      <c r="B338" s="48" t="s">
        <v>8</v>
      </c>
      <c r="C338" s="48" t="s">
        <v>9</v>
      </c>
      <c r="D338" s="49">
        <v>45701</v>
      </c>
      <c r="E338" s="10">
        <v>234</v>
      </c>
    </row>
    <row r="339" spans="2:5">
      <c r="B339" s="48" t="s">
        <v>14</v>
      </c>
      <c r="C339" s="48" t="s">
        <v>15</v>
      </c>
      <c r="D339" s="49">
        <v>45701</v>
      </c>
      <c r="E339" s="10">
        <v>205</v>
      </c>
    </row>
    <row r="340" spans="2:5">
      <c r="B340" s="48" t="s">
        <v>12</v>
      </c>
      <c r="C340" s="48" t="s">
        <v>13</v>
      </c>
      <c r="D340" s="49">
        <v>45701</v>
      </c>
      <c r="E340" s="10">
        <v>171</v>
      </c>
    </row>
    <row r="341" spans="2:5">
      <c r="B341" s="48" t="s">
        <v>6</v>
      </c>
      <c r="C341" s="48" t="s">
        <v>7</v>
      </c>
      <c r="D341" s="49">
        <v>45701</v>
      </c>
      <c r="E341" s="10">
        <v>140</v>
      </c>
    </row>
    <row r="342" spans="2:5">
      <c r="B342" s="48" t="s">
        <v>24</v>
      </c>
      <c r="C342" s="48" t="s">
        <v>25</v>
      </c>
      <c r="D342" s="49">
        <v>45701</v>
      </c>
      <c r="E342" s="10">
        <v>111</v>
      </c>
    </row>
    <row r="343" spans="2:5">
      <c r="B343" s="48" t="s">
        <v>46</v>
      </c>
      <c r="C343" s="48" t="s">
        <v>47</v>
      </c>
      <c r="D343" s="49">
        <v>45701</v>
      </c>
      <c r="E343" s="10">
        <v>54</v>
      </c>
    </row>
    <row r="344" spans="2:5">
      <c r="B344" s="48" t="s">
        <v>10</v>
      </c>
      <c r="C344" s="48" t="s">
        <v>11</v>
      </c>
      <c r="D344" s="49">
        <v>45701</v>
      </c>
      <c r="E344" s="10">
        <v>47</v>
      </c>
    </row>
    <row r="345" spans="2:5">
      <c r="B345" s="48" t="s">
        <v>16</v>
      </c>
      <c r="C345" s="48" t="s">
        <v>17</v>
      </c>
      <c r="D345" s="49">
        <v>45701</v>
      </c>
      <c r="E345" s="10">
        <v>40</v>
      </c>
    </row>
    <row r="346" spans="2:5">
      <c r="B346" s="48" t="s">
        <v>37</v>
      </c>
      <c r="C346" s="48" t="s">
        <v>38</v>
      </c>
      <c r="D346" s="49">
        <v>45701</v>
      </c>
      <c r="E346" s="10">
        <v>28</v>
      </c>
    </row>
    <row r="347" spans="2:5">
      <c r="B347" s="48" t="s">
        <v>35</v>
      </c>
      <c r="C347" s="48" t="s">
        <v>36</v>
      </c>
      <c r="D347" s="49">
        <v>45701</v>
      </c>
      <c r="E347" s="10">
        <v>26</v>
      </c>
    </row>
    <row r="348" spans="2:5">
      <c r="B348" s="48" t="s">
        <v>22</v>
      </c>
      <c r="C348" s="48" t="s">
        <v>23</v>
      </c>
      <c r="D348" s="49">
        <v>45701</v>
      </c>
      <c r="E348" s="10">
        <v>12</v>
      </c>
    </row>
    <row r="349" spans="2:5">
      <c r="B349" s="48" t="s">
        <v>18</v>
      </c>
      <c r="C349" s="48" t="s">
        <v>19</v>
      </c>
      <c r="D349" s="49">
        <v>45701</v>
      </c>
      <c r="E349" s="10">
        <v>7</v>
      </c>
    </row>
    <row r="350" spans="2:5">
      <c r="B350" s="48" t="s">
        <v>33</v>
      </c>
      <c r="C350" s="48" t="s">
        <v>34</v>
      </c>
      <c r="D350" s="49">
        <v>45701</v>
      </c>
      <c r="E350" s="10">
        <v>5</v>
      </c>
    </row>
    <row r="351" spans="2:5">
      <c r="B351" s="48" t="s">
        <v>4</v>
      </c>
      <c r="C351" s="48" t="s">
        <v>5</v>
      </c>
      <c r="D351" s="49">
        <v>45702</v>
      </c>
      <c r="E351" s="10">
        <v>428.2</v>
      </c>
    </row>
    <row r="352" spans="2:5">
      <c r="B352" s="48" t="s">
        <v>8</v>
      </c>
      <c r="C352" s="48" t="s">
        <v>9</v>
      </c>
      <c r="D352" s="49">
        <v>45702</v>
      </c>
      <c r="E352" s="10">
        <v>178</v>
      </c>
    </row>
    <row r="353" spans="2:5">
      <c r="B353" s="48" t="s">
        <v>24</v>
      </c>
      <c r="C353" s="48" t="s">
        <v>25</v>
      </c>
      <c r="D353" s="49">
        <v>45702</v>
      </c>
      <c r="E353" s="10">
        <v>66</v>
      </c>
    </row>
    <row r="354" spans="2:5">
      <c r="B354" s="48" t="s">
        <v>10</v>
      </c>
      <c r="C354" s="48" t="s">
        <v>11</v>
      </c>
      <c r="D354" s="49">
        <v>45702</v>
      </c>
      <c r="E354" s="10">
        <v>46</v>
      </c>
    </row>
    <row r="355" spans="2:5">
      <c r="B355" s="48" t="s">
        <v>6</v>
      </c>
      <c r="C355" s="48" t="s">
        <v>7</v>
      </c>
      <c r="D355" s="49">
        <v>45702</v>
      </c>
      <c r="E355" s="10">
        <v>42</v>
      </c>
    </row>
    <row r="356" spans="2:5">
      <c r="B356" s="48" t="s">
        <v>35</v>
      </c>
      <c r="C356" s="48" t="s">
        <v>36</v>
      </c>
      <c r="D356" s="49">
        <v>45702</v>
      </c>
      <c r="E356" s="10">
        <v>34</v>
      </c>
    </row>
    <row r="357" spans="2:5">
      <c r="B357" s="48" t="s">
        <v>12</v>
      </c>
      <c r="C357" s="48" t="s">
        <v>13</v>
      </c>
      <c r="D357" s="49">
        <v>45702</v>
      </c>
      <c r="E357" s="10">
        <v>20</v>
      </c>
    </row>
    <row r="358" spans="2:5">
      <c r="B358" s="48" t="s">
        <v>14</v>
      </c>
      <c r="C358" s="48" t="s">
        <v>15</v>
      </c>
      <c r="D358" s="49">
        <v>45702</v>
      </c>
      <c r="E358" s="10">
        <v>16</v>
      </c>
    </row>
    <row r="359" spans="2:5">
      <c r="B359" s="48" t="s">
        <v>16</v>
      </c>
      <c r="C359" s="48" t="s">
        <v>17</v>
      </c>
      <c r="D359" s="49">
        <v>45702</v>
      </c>
      <c r="E359" s="10">
        <v>14</v>
      </c>
    </row>
    <row r="360" spans="2:5">
      <c r="B360" s="48" t="s">
        <v>20</v>
      </c>
      <c r="C360" s="48" t="s">
        <v>21</v>
      </c>
      <c r="D360" s="49">
        <v>45702</v>
      </c>
      <c r="E360" s="10">
        <v>2</v>
      </c>
    </row>
    <row r="361" spans="2:5">
      <c r="B361" s="48" t="s">
        <v>4</v>
      </c>
      <c r="C361" s="48" t="s">
        <v>5</v>
      </c>
      <c r="D361" s="49">
        <v>45703</v>
      </c>
      <c r="E361" s="10">
        <v>626.1</v>
      </c>
    </row>
    <row r="362" spans="2:5">
      <c r="B362" s="48" t="s">
        <v>12</v>
      </c>
      <c r="C362" s="48" t="s">
        <v>13</v>
      </c>
      <c r="D362" s="49">
        <v>45703</v>
      </c>
      <c r="E362" s="10">
        <v>96</v>
      </c>
    </row>
    <row r="363" spans="2:5">
      <c r="B363" s="48" t="s">
        <v>6</v>
      </c>
      <c r="C363" s="48" t="s">
        <v>7</v>
      </c>
      <c r="D363" s="49">
        <v>45703</v>
      </c>
      <c r="E363" s="10">
        <v>8</v>
      </c>
    </row>
    <row r="364" spans="2:5">
      <c r="B364" s="48" t="s">
        <v>37</v>
      </c>
      <c r="C364" s="48" t="s">
        <v>38</v>
      </c>
      <c r="D364" s="49">
        <v>45703</v>
      </c>
      <c r="E364" s="10">
        <v>6</v>
      </c>
    </row>
    <row r="365" spans="2:5">
      <c r="B365" s="48" t="s">
        <v>20</v>
      </c>
      <c r="C365" s="48" t="s">
        <v>21</v>
      </c>
      <c r="D365" s="49">
        <v>45703</v>
      </c>
      <c r="E365" s="10">
        <v>5</v>
      </c>
    </row>
    <row r="366" spans="2:5">
      <c r="B366" s="48" t="s">
        <v>16</v>
      </c>
      <c r="C366" s="48" t="s">
        <v>17</v>
      </c>
      <c r="D366" s="49">
        <v>45703</v>
      </c>
      <c r="E366" s="10">
        <v>3</v>
      </c>
    </row>
    <row r="367" spans="2:5">
      <c r="B367" s="48" t="s">
        <v>4</v>
      </c>
      <c r="C367" s="48" t="s">
        <v>5</v>
      </c>
      <c r="D367" s="49">
        <v>45705</v>
      </c>
      <c r="E367" s="10">
        <v>210.4</v>
      </c>
    </row>
    <row r="368" spans="2:5">
      <c r="B368" s="48" t="s">
        <v>8</v>
      </c>
      <c r="C368" s="48" t="s">
        <v>9</v>
      </c>
      <c r="D368" s="49">
        <v>45705</v>
      </c>
      <c r="E368" s="10">
        <v>70</v>
      </c>
    </row>
    <row r="369" spans="2:5">
      <c r="B369" s="48" t="s">
        <v>16</v>
      </c>
      <c r="C369" s="48" t="s">
        <v>17</v>
      </c>
      <c r="D369" s="49">
        <v>45705</v>
      </c>
      <c r="E369" s="10">
        <v>30</v>
      </c>
    </row>
    <row r="370" spans="2:5">
      <c r="B370" s="48" t="s">
        <v>6</v>
      </c>
      <c r="C370" s="48" t="s">
        <v>7</v>
      </c>
      <c r="D370" s="49">
        <v>45705</v>
      </c>
      <c r="E370" s="10">
        <v>24</v>
      </c>
    </row>
    <row r="371" spans="2:5">
      <c r="B371" s="48" t="s">
        <v>12</v>
      </c>
      <c r="C371" s="48" t="s">
        <v>13</v>
      </c>
      <c r="D371" s="49">
        <v>45705</v>
      </c>
      <c r="E371" s="10">
        <v>24</v>
      </c>
    </row>
    <row r="372" spans="2:5">
      <c r="B372" s="48" t="s">
        <v>10</v>
      </c>
      <c r="C372" s="48" t="s">
        <v>11</v>
      </c>
      <c r="D372" s="49">
        <v>45705</v>
      </c>
      <c r="E372" s="10">
        <v>23</v>
      </c>
    </row>
    <row r="373" spans="2:5">
      <c r="B373" s="48" t="s">
        <v>37</v>
      </c>
      <c r="C373" s="48" t="s">
        <v>38</v>
      </c>
      <c r="D373" s="49">
        <v>45705</v>
      </c>
      <c r="E373" s="10">
        <v>16</v>
      </c>
    </row>
    <row r="374" spans="2:5">
      <c r="B374" s="48" t="s">
        <v>35</v>
      </c>
      <c r="C374" s="48" t="s">
        <v>36</v>
      </c>
      <c r="D374" s="49">
        <v>45705</v>
      </c>
      <c r="E374" s="10">
        <v>8</v>
      </c>
    </row>
    <row r="375" spans="2:5">
      <c r="B375" s="48" t="s">
        <v>8</v>
      </c>
      <c r="C375" s="48" t="s">
        <v>9</v>
      </c>
      <c r="D375" s="49">
        <v>45706</v>
      </c>
      <c r="E375" s="10">
        <v>310</v>
      </c>
    </row>
    <row r="376" spans="2:5">
      <c r="B376" s="48" t="s">
        <v>6</v>
      </c>
      <c r="C376" s="48" t="s">
        <v>7</v>
      </c>
      <c r="D376" s="49">
        <v>45706</v>
      </c>
      <c r="E376" s="10">
        <v>122</v>
      </c>
    </row>
    <row r="377" spans="2:5">
      <c r="B377" s="48" t="s">
        <v>16</v>
      </c>
      <c r="C377" s="48" t="s">
        <v>17</v>
      </c>
      <c r="D377" s="49">
        <v>45706</v>
      </c>
      <c r="E377" s="10">
        <v>93</v>
      </c>
    </row>
    <row r="378" spans="2:5">
      <c r="B378" s="48" t="s">
        <v>10</v>
      </c>
      <c r="C378" s="48" t="s">
        <v>11</v>
      </c>
      <c r="D378" s="49">
        <v>45706</v>
      </c>
      <c r="E378" s="10">
        <v>57</v>
      </c>
    </row>
    <row r="379" spans="2:5">
      <c r="B379" s="48" t="s">
        <v>4</v>
      </c>
      <c r="C379" s="48" t="s">
        <v>5</v>
      </c>
      <c r="D379" s="49">
        <v>45706</v>
      </c>
      <c r="E379" s="10">
        <v>35.3</v>
      </c>
    </row>
    <row r="380" spans="2:5">
      <c r="B380" s="48" t="s">
        <v>12</v>
      </c>
      <c r="C380" s="48" t="s">
        <v>13</v>
      </c>
      <c r="D380" s="49">
        <v>45706</v>
      </c>
      <c r="E380" s="10">
        <v>26</v>
      </c>
    </row>
    <row r="381" spans="2:5">
      <c r="B381" s="48" t="s">
        <v>35</v>
      </c>
      <c r="C381" s="48" t="s">
        <v>36</v>
      </c>
      <c r="D381" s="49">
        <v>45706</v>
      </c>
      <c r="E381" s="10">
        <v>23</v>
      </c>
    </row>
    <row r="382" spans="2:5">
      <c r="B382" s="48" t="s">
        <v>18</v>
      </c>
      <c r="C382" s="48" t="s">
        <v>19</v>
      </c>
      <c r="D382" s="49">
        <v>45706</v>
      </c>
      <c r="E382" s="10">
        <v>19</v>
      </c>
    </row>
    <row r="383" spans="2:5">
      <c r="B383" s="48" t="s">
        <v>24</v>
      </c>
      <c r="C383" s="48" t="s">
        <v>25</v>
      </c>
      <c r="D383" s="49">
        <v>45706</v>
      </c>
      <c r="E383" s="10">
        <v>17</v>
      </c>
    </row>
    <row r="384" spans="2:5">
      <c r="B384" s="48" t="s">
        <v>14</v>
      </c>
      <c r="C384" s="48" t="s">
        <v>15</v>
      </c>
      <c r="D384" s="49">
        <v>45706</v>
      </c>
      <c r="E384" s="10">
        <v>14</v>
      </c>
    </row>
    <row r="385" spans="2:5">
      <c r="B385" s="48" t="s">
        <v>4</v>
      </c>
      <c r="C385" s="48" t="s">
        <v>5</v>
      </c>
      <c r="D385" s="49">
        <v>45707</v>
      </c>
      <c r="E385" s="10">
        <v>370.9</v>
      </c>
    </row>
    <row r="386" spans="2:5">
      <c r="B386" s="48" t="s">
        <v>31</v>
      </c>
      <c r="C386" s="48" t="s">
        <v>32</v>
      </c>
      <c r="D386" s="49">
        <v>45707</v>
      </c>
      <c r="E386" s="10">
        <v>339.2</v>
      </c>
    </row>
    <row r="387" spans="2:5">
      <c r="B387" s="48" t="s">
        <v>8</v>
      </c>
      <c r="C387" s="48" t="s">
        <v>9</v>
      </c>
      <c r="D387" s="49">
        <v>45707</v>
      </c>
      <c r="E387" s="10">
        <v>86</v>
      </c>
    </row>
    <row r="388" spans="2:5">
      <c r="B388" s="48" t="s">
        <v>12</v>
      </c>
      <c r="C388" s="48" t="s">
        <v>13</v>
      </c>
      <c r="D388" s="49">
        <v>45707</v>
      </c>
      <c r="E388" s="10">
        <v>83</v>
      </c>
    </row>
    <row r="389" spans="2:5">
      <c r="B389" s="48" t="s">
        <v>24</v>
      </c>
      <c r="C389" s="48" t="s">
        <v>25</v>
      </c>
      <c r="D389" s="49">
        <v>45707</v>
      </c>
      <c r="E389" s="10">
        <v>80</v>
      </c>
    </row>
    <row r="390" spans="2:5">
      <c r="B390" s="48" t="s">
        <v>16</v>
      </c>
      <c r="C390" s="48" t="s">
        <v>17</v>
      </c>
      <c r="D390" s="49">
        <v>45707</v>
      </c>
      <c r="E390" s="10">
        <v>80</v>
      </c>
    </row>
    <row r="391" spans="2:5">
      <c r="B391" s="48" t="s">
        <v>37</v>
      </c>
      <c r="C391" s="48" t="s">
        <v>38</v>
      </c>
      <c r="D391" s="49">
        <v>45707</v>
      </c>
      <c r="E391" s="10">
        <v>76</v>
      </c>
    </row>
    <row r="392" spans="2:5">
      <c r="B392" s="48" t="s">
        <v>33</v>
      </c>
      <c r="C392" s="48" t="s">
        <v>34</v>
      </c>
      <c r="D392" s="49">
        <v>45707</v>
      </c>
      <c r="E392" s="10">
        <v>55</v>
      </c>
    </row>
    <row r="393" spans="2:5">
      <c r="B393" s="48" t="s">
        <v>20</v>
      </c>
      <c r="C393" s="48" t="s">
        <v>21</v>
      </c>
      <c r="D393" s="49">
        <v>45707</v>
      </c>
      <c r="E393" s="10">
        <v>36</v>
      </c>
    </row>
    <row r="394" spans="2:5">
      <c r="B394" s="48" t="s">
        <v>10</v>
      </c>
      <c r="C394" s="48" t="s">
        <v>11</v>
      </c>
      <c r="D394" s="49">
        <v>45707</v>
      </c>
      <c r="E394" s="10">
        <v>28</v>
      </c>
    </row>
    <row r="395" spans="2:5">
      <c r="B395" s="48" t="s">
        <v>18</v>
      </c>
      <c r="C395" s="48" t="s">
        <v>19</v>
      </c>
      <c r="D395" s="49">
        <v>45707</v>
      </c>
      <c r="E395" s="10">
        <v>24</v>
      </c>
    </row>
    <row r="396" spans="2:5">
      <c r="B396" s="48" t="s">
        <v>6</v>
      </c>
      <c r="C396" s="48" t="s">
        <v>7</v>
      </c>
      <c r="D396" s="49">
        <v>45707</v>
      </c>
      <c r="E396" s="10">
        <v>16</v>
      </c>
    </row>
    <row r="397" spans="2:5">
      <c r="B397" s="48" t="s">
        <v>35</v>
      </c>
      <c r="C397" s="48" t="s">
        <v>36</v>
      </c>
      <c r="D397" s="49">
        <v>45707</v>
      </c>
      <c r="E397" s="10">
        <v>11.25</v>
      </c>
    </row>
    <row r="398" spans="2:5">
      <c r="B398" s="48" t="s">
        <v>14</v>
      </c>
      <c r="C398" s="48" t="s">
        <v>15</v>
      </c>
      <c r="D398" s="49">
        <v>45707</v>
      </c>
      <c r="E398" s="10">
        <v>6</v>
      </c>
    </row>
    <row r="399" spans="2:5">
      <c r="B399" s="48" t="s">
        <v>4</v>
      </c>
      <c r="C399" s="48" t="s">
        <v>5</v>
      </c>
      <c r="D399" s="49">
        <v>45708</v>
      </c>
      <c r="E399" s="10">
        <v>4898.4</v>
      </c>
    </row>
    <row r="400" spans="2:5">
      <c r="B400" s="48" t="s">
        <v>8</v>
      </c>
      <c r="C400" s="48" t="s">
        <v>9</v>
      </c>
      <c r="D400" s="49">
        <v>45708</v>
      </c>
      <c r="E400" s="10">
        <v>171</v>
      </c>
    </row>
    <row r="401" spans="2:5">
      <c r="B401" s="48" t="s">
        <v>12</v>
      </c>
      <c r="C401" s="48" t="s">
        <v>13</v>
      </c>
      <c r="D401" s="49">
        <v>45708</v>
      </c>
      <c r="E401" s="10">
        <v>87</v>
      </c>
    </row>
    <row r="402" spans="2:5">
      <c r="B402" s="48" t="s">
        <v>16</v>
      </c>
      <c r="C402" s="48" t="s">
        <v>17</v>
      </c>
      <c r="D402" s="49">
        <v>45708</v>
      </c>
      <c r="E402" s="10">
        <v>77</v>
      </c>
    </row>
    <row r="403" spans="2:5">
      <c r="B403" s="48" t="s">
        <v>24</v>
      </c>
      <c r="C403" s="48" t="s">
        <v>25</v>
      </c>
      <c r="D403" s="49">
        <v>45708</v>
      </c>
      <c r="E403" s="10">
        <v>32</v>
      </c>
    </row>
    <row r="404" spans="2:5">
      <c r="B404" s="48" t="s">
        <v>37</v>
      </c>
      <c r="C404" s="48" t="s">
        <v>38</v>
      </c>
      <c r="D404" s="49">
        <v>45708</v>
      </c>
      <c r="E404" s="10">
        <v>29</v>
      </c>
    </row>
    <row r="405" spans="2:5">
      <c r="B405" s="48" t="s">
        <v>6</v>
      </c>
      <c r="C405" s="48" t="s">
        <v>7</v>
      </c>
      <c r="D405" s="49">
        <v>45708</v>
      </c>
      <c r="E405" s="10">
        <v>23</v>
      </c>
    </row>
    <row r="406" spans="2:5">
      <c r="B406" s="48" t="s">
        <v>10</v>
      </c>
      <c r="C406" s="48" t="s">
        <v>11</v>
      </c>
      <c r="D406" s="49">
        <v>45708</v>
      </c>
      <c r="E406" s="10">
        <v>19</v>
      </c>
    </row>
    <row r="407" spans="2:5">
      <c r="B407" s="48" t="s">
        <v>22</v>
      </c>
      <c r="C407" s="48" t="s">
        <v>23</v>
      </c>
      <c r="D407" s="49">
        <v>45708</v>
      </c>
      <c r="E407" s="10">
        <v>11</v>
      </c>
    </row>
    <row r="408" spans="2:5">
      <c r="B408" s="48" t="s">
        <v>31</v>
      </c>
      <c r="C408" s="48" t="s">
        <v>32</v>
      </c>
      <c r="D408" s="49">
        <v>45709</v>
      </c>
      <c r="E408" s="10">
        <v>639.15</v>
      </c>
    </row>
    <row r="409" spans="2:5">
      <c r="B409" s="48" t="s">
        <v>8</v>
      </c>
      <c r="C409" s="48" t="s">
        <v>9</v>
      </c>
      <c r="D409" s="49">
        <v>45709</v>
      </c>
      <c r="E409" s="10">
        <v>332</v>
      </c>
    </row>
    <row r="410" spans="2:5">
      <c r="B410" s="48" t="s">
        <v>4</v>
      </c>
      <c r="C410" s="48" t="s">
        <v>5</v>
      </c>
      <c r="D410" s="49">
        <v>45709</v>
      </c>
      <c r="E410" s="10">
        <v>269.3</v>
      </c>
    </row>
    <row r="411" spans="2:5">
      <c r="B411" s="48" t="s">
        <v>12</v>
      </c>
      <c r="C411" s="48" t="s">
        <v>13</v>
      </c>
      <c r="D411" s="49">
        <v>45709</v>
      </c>
      <c r="E411" s="10">
        <v>104</v>
      </c>
    </row>
    <row r="412" spans="2:5">
      <c r="B412" s="48" t="s">
        <v>14</v>
      </c>
      <c r="C412" s="48" t="s">
        <v>15</v>
      </c>
      <c r="D412" s="49">
        <v>45709</v>
      </c>
      <c r="E412" s="10">
        <v>71</v>
      </c>
    </row>
    <row r="413" spans="2:5">
      <c r="B413" s="48" t="s">
        <v>6</v>
      </c>
      <c r="C413" s="48" t="s">
        <v>7</v>
      </c>
      <c r="D413" s="49">
        <v>45709</v>
      </c>
      <c r="E413" s="10">
        <v>70</v>
      </c>
    </row>
    <row r="414" spans="2:5">
      <c r="B414" s="48" t="s">
        <v>24</v>
      </c>
      <c r="C414" s="48" t="s">
        <v>25</v>
      </c>
      <c r="D414" s="49">
        <v>45709</v>
      </c>
      <c r="E414" s="10">
        <v>40</v>
      </c>
    </row>
    <row r="415" spans="2:5">
      <c r="B415" s="48" t="s">
        <v>16</v>
      </c>
      <c r="C415" s="48" t="s">
        <v>17</v>
      </c>
      <c r="D415" s="49">
        <v>45709</v>
      </c>
      <c r="E415" s="10">
        <v>37</v>
      </c>
    </row>
    <row r="416" spans="2:5">
      <c r="B416" s="48" t="s">
        <v>18</v>
      </c>
      <c r="C416" s="48" t="s">
        <v>19</v>
      </c>
      <c r="D416" s="49">
        <v>45709</v>
      </c>
      <c r="E416" s="10">
        <v>37</v>
      </c>
    </row>
    <row r="417" spans="2:5">
      <c r="B417" s="48" t="s">
        <v>35</v>
      </c>
      <c r="C417" s="48" t="s">
        <v>36</v>
      </c>
      <c r="D417" s="49">
        <v>45709</v>
      </c>
      <c r="E417" s="10">
        <v>28</v>
      </c>
    </row>
    <row r="418" spans="2:5">
      <c r="B418" s="48" t="s">
        <v>40</v>
      </c>
      <c r="C418" s="48" t="s">
        <v>41</v>
      </c>
      <c r="D418" s="49">
        <v>45709</v>
      </c>
      <c r="E418" s="10">
        <v>26</v>
      </c>
    </row>
    <row r="419" spans="2:5">
      <c r="B419" s="48" t="s">
        <v>33</v>
      </c>
      <c r="C419" s="48" t="s">
        <v>34</v>
      </c>
      <c r="D419" s="49">
        <v>45709</v>
      </c>
      <c r="E419" s="10">
        <v>13</v>
      </c>
    </row>
    <row r="420" spans="2:5">
      <c r="B420" s="48" t="s">
        <v>10</v>
      </c>
      <c r="C420" s="48" t="s">
        <v>11</v>
      </c>
      <c r="D420" s="49">
        <v>45709</v>
      </c>
      <c r="E420" s="10">
        <v>12</v>
      </c>
    </row>
    <row r="421" spans="2:5">
      <c r="B421" s="48" t="s">
        <v>20</v>
      </c>
      <c r="C421" s="48" t="s">
        <v>21</v>
      </c>
      <c r="D421" s="49">
        <v>45709</v>
      </c>
      <c r="E421" s="10">
        <v>9</v>
      </c>
    </row>
    <row r="422" spans="2:5">
      <c r="B422" s="48" t="s">
        <v>22</v>
      </c>
      <c r="C422" s="48" t="s">
        <v>23</v>
      </c>
      <c r="D422" s="49">
        <v>45709</v>
      </c>
      <c r="E422" s="10">
        <v>5</v>
      </c>
    </row>
    <row r="423" spans="2:5">
      <c r="B423" s="48" t="s">
        <v>12</v>
      </c>
      <c r="C423" s="48" t="s">
        <v>13</v>
      </c>
      <c r="D423" s="49">
        <v>45712</v>
      </c>
      <c r="E423" s="10">
        <v>142</v>
      </c>
    </row>
    <row r="424" spans="2:5">
      <c r="B424" s="48" t="s">
        <v>4</v>
      </c>
      <c r="C424" s="48" t="s">
        <v>5</v>
      </c>
      <c r="D424" s="49">
        <v>45712</v>
      </c>
      <c r="E424" s="10">
        <v>137.7</v>
      </c>
    </row>
    <row r="425" spans="2:5">
      <c r="B425" s="48" t="s">
        <v>31</v>
      </c>
      <c r="C425" s="48" t="s">
        <v>32</v>
      </c>
      <c r="D425" s="49">
        <v>45712</v>
      </c>
      <c r="E425" s="10">
        <v>66</v>
      </c>
    </row>
    <row r="426" spans="2:5">
      <c r="B426" s="48" t="s">
        <v>35</v>
      </c>
      <c r="C426" s="48" t="s">
        <v>36</v>
      </c>
      <c r="D426" s="49">
        <v>45712</v>
      </c>
      <c r="E426" s="10">
        <v>66</v>
      </c>
    </row>
    <row r="427" spans="2:5">
      <c r="B427" s="48" t="s">
        <v>8</v>
      </c>
      <c r="C427" s="48" t="s">
        <v>9</v>
      </c>
      <c r="D427" s="49">
        <v>45712</v>
      </c>
      <c r="E427" s="10">
        <v>63</v>
      </c>
    </row>
    <row r="428" spans="2:5">
      <c r="B428" s="48" t="s">
        <v>37</v>
      </c>
      <c r="C428" s="48" t="s">
        <v>38</v>
      </c>
      <c r="D428" s="49">
        <v>45712</v>
      </c>
      <c r="E428" s="10">
        <v>54</v>
      </c>
    </row>
    <row r="429" spans="2:5">
      <c r="B429" s="48" t="s">
        <v>6</v>
      </c>
      <c r="C429" s="48" t="s">
        <v>7</v>
      </c>
      <c r="D429" s="49">
        <v>45712</v>
      </c>
      <c r="E429" s="10">
        <v>48</v>
      </c>
    </row>
    <row r="430" spans="2:5">
      <c r="B430" s="48" t="s">
        <v>16</v>
      </c>
      <c r="C430" s="48" t="s">
        <v>17</v>
      </c>
      <c r="D430" s="49">
        <v>45712</v>
      </c>
      <c r="E430" s="10">
        <v>46</v>
      </c>
    </row>
    <row r="431" spans="2:5">
      <c r="B431" s="48" t="s">
        <v>10</v>
      </c>
      <c r="C431" s="48" t="s">
        <v>11</v>
      </c>
      <c r="D431" s="49">
        <v>45712</v>
      </c>
      <c r="E431" s="10">
        <v>33</v>
      </c>
    </row>
    <row r="432" spans="2:5">
      <c r="B432" s="48" t="s">
        <v>24</v>
      </c>
      <c r="C432" s="48" t="s">
        <v>25</v>
      </c>
      <c r="D432" s="49">
        <v>45712</v>
      </c>
      <c r="E432" s="10">
        <v>7</v>
      </c>
    </row>
    <row r="433" spans="2:5">
      <c r="B433" s="48" t="s">
        <v>4</v>
      </c>
      <c r="C433" s="48" t="s">
        <v>5</v>
      </c>
      <c r="D433" s="49">
        <v>45713</v>
      </c>
      <c r="E433" s="10">
        <v>1072.3</v>
      </c>
    </row>
    <row r="434" spans="2:5">
      <c r="B434" s="48" t="s">
        <v>12</v>
      </c>
      <c r="C434" s="48" t="s">
        <v>13</v>
      </c>
      <c r="D434" s="49">
        <v>45713</v>
      </c>
      <c r="E434" s="10">
        <v>81</v>
      </c>
    </row>
    <row r="435" spans="2:5">
      <c r="B435" s="48" t="s">
        <v>8</v>
      </c>
      <c r="C435" s="48" t="s">
        <v>9</v>
      </c>
      <c r="D435" s="49">
        <v>45713</v>
      </c>
      <c r="E435" s="10">
        <v>56</v>
      </c>
    </row>
    <row r="436" spans="2:5">
      <c r="B436" s="48" t="s">
        <v>10</v>
      </c>
      <c r="C436" s="48" t="s">
        <v>11</v>
      </c>
      <c r="D436" s="49">
        <v>45713</v>
      </c>
      <c r="E436" s="10">
        <v>54</v>
      </c>
    </row>
    <row r="437" spans="2:5">
      <c r="B437" s="48" t="s">
        <v>35</v>
      </c>
      <c r="C437" s="48" t="s">
        <v>36</v>
      </c>
      <c r="D437" s="49">
        <v>45713</v>
      </c>
      <c r="E437" s="10">
        <v>44</v>
      </c>
    </row>
    <row r="438" spans="2:5">
      <c r="B438" s="48" t="s">
        <v>16</v>
      </c>
      <c r="C438" s="48" t="s">
        <v>17</v>
      </c>
      <c r="D438" s="49">
        <v>45713</v>
      </c>
      <c r="E438" s="10">
        <v>41</v>
      </c>
    </row>
    <row r="439" spans="2:5">
      <c r="B439" s="48" t="s">
        <v>37</v>
      </c>
      <c r="C439" s="48" t="s">
        <v>38</v>
      </c>
      <c r="D439" s="49">
        <v>45713</v>
      </c>
      <c r="E439" s="10">
        <v>36</v>
      </c>
    </row>
    <row r="440" spans="2:5">
      <c r="B440" s="48" t="s">
        <v>6</v>
      </c>
      <c r="C440" s="48" t="s">
        <v>7</v>
      </c>
      <c r="D440" s="49">
        <v>45713</v>
      </c>
      <c r="E440" s="10">
        <v>19</v>
      </c>
    </row>
    <row r="441" spans="2:5">
      <c r="B441" s="48" t="s">
        <v>18</v>
      </c>
      <c r="C441" s="48" t="s">
        <v>19</v>
      </c>
      <c r="D441" s="49">
        <v>45713</v>
      </c>
      <c r="E441" s="10">
        <v>14</v>
      </c>
    </row>
    <row r="442" spans="2:5">
      <c r="B442" s="48" t="s">
        <v>24</v>
      </c>
      <c r="C442" s="48" t="s">
        <v>25</v>
      </c>
      <c r="D442" s="49">
        <v>45713</v>
      </c>
      <c r="E442" s="10">
        <v>4</v>
      </c>
    </row>
    <row r="443" spans="2:5">
      <c r="B443" s="48" t="s">
        <v>4</v>
      </c>
      <c r="C443" s="48" t="s">
        <v>5</v>
      </c>
      <c r="D443" s="49">
        <v>45714</v>
      </c>
      <c r="E443" s="10">
        <v>1364.48</v>
      </c>
    </row>
    <row r="444" spans="2:5">
      <c r="B444" s="48" t="s">
        <v>6</v>
      </c>
      <c r="C444" s="48" t="s">
        <v>7</v>
      </c>
      <c r="D444" s="49">
        <v>45714</v>
      </c>
      <c r="E444" s="10">
        <v>152</v>
      </c>
    </row>
    <row r="445" spans="2:5">
      <c r="B445" s="48" t="s">
        <v>12</v>
      </c>
      <c r="C445" s="48" t="s">
        <v>13</v>
      </c>
      <c r="D445" s="49">
        <v>45714</v>
      </c>
      <c r="E445" s="10">
        <v>113</v>
      </c>
    </row>
    <row r="446" spans="2:5">
      <c r="B446" s="48" t="s">
        <v>16</v>
      </c>
      <c r="C446" s="48" t="s">
        <v>17</v>
      </c>
      <c r="D446" s="49">
        <v>45714</v>
      </c>
      <c r="E446" s="10">
        <v>108</v>
      </c>
    </row>
    <row r="447" spans="2:5">
      <c r="B447" s="48" t="s">
        <v>14</v>
      </c>
      <c r="C447" s="48" t="s">
        <v>15</v>
      </c>
      <c r="D447" s="49">
        <v>45714</v>
      </c>
      <c r="E447" s="10">
        <v>73</v>
      </c>
    </row>
    <row r="448" spans="2:5">
      <c r="B448" s="48" t="s">
        <v>18</v>
      </c>
      <c r="C448" s="48" t="s">
        <v>19</v>
      </c>
      <c r="D448" s="49">
        <v>45714</v>
      </c>
      <c r="E448" s="10">
        <v>53</v>
      </c>
    </row>
    <row r="449" spans="2:5">
      <c r="B449" s="48" t="s">
        <v>20</v>
      </c>
      <c r="C449" s="48" t="s">
        <v>21</v>
      </c>
      <c r="D449" s="49">
        <v>45714</v>
      </c>
      <c r="E449" s="10">
        <v>48</v>
      </c>
    </row>
    <row r="450" spans="2:5">
      <c r="B450" s="48" t="s">
        <v>8</v>
      </c>
      <c r="C450" s="48" t="s">
        <v>9</v>
      </c>
      <c r="D450" s="49">
        <v>45714</v>
      </c>
      <c r="E450" s="10">
        <v>44</v>
      </c>
    </row>
    <row r="451" spans="2:5">
      <c r="B451" s="48" t="s">
        <v>10</v>
      </c>
      <c r="C451" s="48" t="s">
        <v>11</v>
      </c>
      <c r="D451" s="49">
        <v>45714</v>
      </c>
      <c r="E451" s="10">
        <v>35</v>
      </c>
    </row>
    <row r="452" spans="2:5">
      <c r="B452" s="48" t="s">
        <v>24</v>
      </c>
      <c r="C452" s="48" t="s">
        <v>25</v>
      </c>
      <c r="D452" s="49">
        <v>45714</v>
      </c>
      <c r="E452" s="10">
        <v>29</v>
      </c>
    </row>
    <row r="453" spans="2:5">
      <c r="B453" s="48" t="s">
        <v>33</v>
      </c>
      <c r="C453" s="48" t="s">
        <v>34</v>
      </c>
      <c r="D453" s="49">
        <v>45714</v>
      </c>
      <c r="E453" s="10">
        <v>21</v>
      </c>
    </row>
    <row r="454" spans="2:5">
      <c r="B454" s="48" t="s">
        <v>37</v>
      </c>
      <c r="C454" s="48" t="s">
        <v>38</v>
      </c>
      <c r="D454" s="49">
        <v>45714</v>
      </c>
      <c r="E454" s="10">
        <v>14</v>
      </c>
    </row>
    <row r="455" spans="2:5">
      <c r="B455" s="48" t="s">
        <v>46</v>
      </c>
      <c r="C455" s="48" t="s">
        <v>47</v>
      </c>
      <c r="D455" s="49">
        <v>45714</v>
      </c>
      <c r="E455" s="10">
        <v>1</v>
      </c>
    </row>
    <row r="456" spans="2:5">
      <c r="B456" s="48" t="s">
        <v>4</v>
      </c>
      <c r="C456" s="48" t="s">
        <v>5</v>
      </c>
      <c r="D456" s="49">
        <v>45715</v>
      </c>
      <c r="E456" s="10">
        <v>275.7</v>
      </c>
    </row>
    <row r="457" spans="2:5">
      <c r="B457" s="48" t="s">
        <v>8</v>
      </c>
      <c r="C457" s="48" t="s">
        <v>9</v>
      </c>
      <c r="D457" s="49">
        <v>45715</v>
      </c>
      <c r="E457" s="10">
        <v>157</v>
      </c>
    </row>
    <row r="458" spans="2:5">
      <c r="B458" s="48" t="s">
        <v>12</v>
      </c>
      <c r="C458" s="48" t="s">
        <v>13</v>
      </c>
      <c r="D458" s="49">
        <v>45715</v>
      </c>
      <c r="E458" s="10">
        <v>100</v>
      </c>
    </row>
    <row r="459" spans="2:5">
      <c r="B459" s="48" t="s">
        <v>24</v>
      </c>
      <c r="C459" s="48" t="s">
        <v>25</v>
      </c>
      <c r="D459" s="49">
        <v>45715</v>
      </c>
      <c r="E459" s="10">
        <v>48</v>
      </c>
    </row>
    <row r="460" spans="2:5">
      <c r="B460" s="48" t="s">
        <v>6</v>
      </c>
      <c r="C460" s="48" t="s">
        <v>7</v>
      </c>
      <c r="D460" s="49">
        <v>45715</v>
      </c>
      <c r="E460" s="10">
        <v>46</v>
      </c>
    </row>
    <row r="461" spans="2:5">
      <c r="B461" s="48" t="s">
        <v>16</v>
      </c>
      <c r="C461" s="48" t="s">
        <v>17</v>
      </c>
      <c r="D461" s="49">
        <v>45715</v>
      </c>
      <c r="E461" s="10">
        <v>41</v>
      </c>
    </row>
    <row r="462" spans="2:5">
      <c r="B462" s="48" t="s">
        <v>10</v>
      </c>
      <c r="C462" s="48" t="s">
        <v>11</v>
      </c>
      <c r="D462" s="49">
        <v>45715</v>
      </c>
      <c r="E462" s="10">
        <v>33</v>
      </c>
    </row>
    <row r="463" spans="2:5">
      <c r="B463" s="48" t="s">
        <v>37</v>
      </c>
      <c r="C463" s="48" t="s">
        <v>38</v>
      </c>
      <c r="D463" s="49">
        <v>45715</v>
      </c>
      <c r="E463" s="10">
        <v>15</v>
      </c>
    </row>
    <row r="464" spans="2:5">
      <c r="B464" s="48" t="s">
        <v>14</v>
      </c>
      <c r="C464" s="48" t="s">
        <v>15</v>
      </c>
      <c r="D464" s="49">
        <v>45715</v>
      </c>
      <c r="E464" s="10">
        <v>1</v>
      </c>
    </row>
    <row r="465" spans="2:5">
      <c r="B465" s="48" t="s">
        <v>4</v>
      </c>
      <c r="C465" s="48" t="s">
        <v>5</v>
      </c>
      <c r="D465" s="49">
        <v>45716</v>
      </c>
      <c r="E465" s="10">
        <v>620.4</v>
      </c>
    </row>
    <row r="466" spans="2:5">
      <c r="B466" s="48" t="s">
        <v>24</v>
      </c>
      <c r="C466" s="48" t="s">
        <v>25</v>
      </c>
      <c r="D466" s="49">
        <v>45716</v>
      </c>
      <c r="E466" s="10">
        <v>224</v>
      </c>
    </row>
    <row r="467" spans="2:5">
      <c r="B467" s="48" t="s">
        <v>8</v>
      </c>
      <c r="C467" s="48" t="s">
        <v>9</v>
      </c>
      <c r="D467" s="49">
        <v>45716</v>
      </c>
      <c r="E467" s="10">
        <v>176</v>
      </c>
    </row>
    <row r="468" spans="2:5">
      <c r="B468" s="48" t="s">
        <v>12</v>
      </c>
      <c r="C468" s="48" t="s">
        <v>13</v>
      </c>
      <c r="D468" s="49">
        <v>45716</v>
      </c>
      <c r="E468" s="10">
        <v>147</v>
      </c>
    </row>
    <row r="469" spans="2:5">
      <c r="B469" s="48" t="s">
        <v>6</v>
      </c>
      <c r="C469" s="48" t="s">
        <v>7</v>
      </c>
      <c r="D469" s="49">
        <v>45716</v>
      </c>
      <c r="E469" s="10">
        <v>118</v>
      </c>
    </row>
    <row r="470" spans="2:5">
      <c r="B470" s="48" t="s">
        <v>37</v>
      </c>
      <c r="C470" s="48" t="s">
        <v>38</v>
      </c>
      <c r="D470" s="49">
        <v>45716</v>
      </c>
      <c r="E470" s="10">
        <v>91</v>
      </c>
    </row>
    <row r="471" spans="2:5">
      <c r="B471" s="48" t="s">
        <v>10</v>
      </c>
      <c r="C471" s="48" t="s">
        <v>11</v>
      </c>
      <c r="D471" s="49">
        <v>45716</v>
      </c>
      <c r="E471" s="10">
        <v>88</v>
      </c>
    </row>
    <row r="472" spans="2:5">
      <c r="B472" s="48" t="s">
        <v>16</v>
      </c>
      <c r="C472" s="48" t="s">
        <v>17</v>
      </c>
      <c r="D472" s="49">
        <v>45716</v>
      </c>
      <c r="E472" s="10">
        <v>85</v>
      </c>
    </row>
    <row r="473" spans="2:5">
      <c r="B473" s="48" t="s">
        <v>35</v>
      </c>
      <c r="C473" s="48" t="s">
        <v>36</v>
      </c>
      <c r="D473" s="49">
        <v>45716</v>
      </c>
      <c r="E473" s="10">
        <v>66</v>
      </c>
    </row>
    <row r="474" spans="2:5">
      <c r="B474" s="48" t="s">
        <v>20</v>
      </c>
      <c r="C474" s="48" t="s">
        <v>21</v>
      </c>
      <c r="D474" s="49">
        <v>45716</v>
      </c>
      <c r="E474" s="10">
        <v>48</v>
      </c>
    </row>
    <row r="475" spans="2:5">
      <c r="B475" s="48" t="s">
        <v>18</v>
      </c>
      <c r="C475" s="48" t="s">
        <v>19</v>
      </c>
      <c r="D475" s="49">
        <v>45716</v>
      </c>
      <c r="E475" s="10">
        <v>40</v>
      </c>
    </row>
    <row r="476" spans="2:5">
      <c r="B476" s="48" t="s">
        <v>33</v>
      </c>
      <c r="C476" s="48" t="s">
        <v>34</v>
      </c>
      <c r="D476" s="49">
        <v>45716</v>
      </c>
      <c r="E476" s="10">
        <v>38</v>
      </c>
    </row>
    <row r="477" spans="2:5">
      <c r="B477" s="48" t="s">
        <v>14</v>
      </c>
      <c r="C477" s="48" t="s">
        <v>15</v>
      </c>
      <c r="D477" s="49">
        <v>45716</v>
      </c>
      <c r="E477" s="10">
        <v>22</v>
      </c>
    </row>
    <row r="478" spans="2:5">
      <c r="B478" s="48" t="s">
        <v>22</v>
      </c>
      <c r="C478" s="48" t="s">
        <v>23</v>
      </c>
      <c r="D478" s="49">
        <v>45716</v>
      </c>
      <c r="E478" s="10">
        <v>6</v>
      </c>
    </row>
    <row r="479" spans="2:5">
      <c r="B479" s="48" t="s">
        <v>4</v>
      </c>
      <c r="C479" s="48" t="s">
        <v>5</v>
      </c>
      <c r="D479" s="49">
        <v>45721</v>
      </c>
      <c r="E479" s="10">
        <v>631.95</v>
      </c>
    </row>
    <row r="480" spans="2:5">
      <c r="B480" s="48" t="s">
        <v>16</v>
      </c>
      <c r="C480" s="48" t="s">
        <v>17</v>
      </c>
      <c r="D480" s="49">
        <v>45721</v>
      </c>
      <c r="E480" s="10">
        <v>57</v>
      </c>
    </row>
    <row r="481" spans="2:5">
      <c r="B481" s="48" t="s">
        <v>10</v>
      </c>
      <c r="C481" s="48" t="s">
        <v>11</v>
      </c>
      <c r="D481" s="49">
        <v>45721</v>
      </c>
      <c r="E481" s="10">
        <v>43</v>
      </c>
    </row>
    <row r="482" spans="2:5">
      <c r="B482" s="48" t="s">
        <v>12</v>
      </c>
      <c r="C482" s="48" t="s">
        <v>13</v>
      </c>
      <c r="D482" s="49">
        <v>45721</v>
      </c>
      <c r="E482" s="10">
        <v>5</v>
      </c>
    </row>
    <row r="483" spans="2:5">
      <c r="B483" s="48" t="s">
        <v>4</v>
      </c>
      <c r="C483" s="48" t="s">
        <v>5</v>
      </c>
      <c r="D483" s="49">
        <v>45722</v>
      </c>
      <c r="E483" s="10">
        <v>470.4</v>
      </c>
    </row>
    <row r="484" spans="2:5">
      <c r="B484" s="48" t="s">
        <v>35</v>
      </c>
      <c r="C484" s="48" t="s">
        <v>36</v>
      </c>
      <c r="D484" s="49">
        <v>45722</v>
      </c>
      <c r="E484" s="10">
        <v>44</v>
      </c>
    </row>
    <row r="485" spans="2:5">
      <c r="B485" s="48" t="s">
        <v>6</v>
      </c>
      <c r="C485" s="48" t="s">
        <v>7</v>
      </c>
      <c r="D485" s="49">
        <v>45722</v>
      </c>
      <c r="E485" s="10">
        <v>39</v>
      </c>
    </row>
    <row r="486" spans="2:5">
      <c r="B486" s="48" t="s">
        <v>10</v>
      </c>
      <c r="C486" s="48" t="s">
        <v>11</v>
      </c>
      <c r="D486" s="49">
        <v>45722</v>
      </c>
      <c r="E486" s="10">
        <v>26</v>
      </c>
    </row>
    <row r="487" spans="2:5">
      <c r="B487" s="48" t="s">
        <v>12</v>
      </c>
      <c r="C487" s="48" t="s">
        <v>13</v>
      </c>
      <c r="D487" s="49">
        <v>45722</v>
      </c>
      <c r="E487" s="10">
        <v>25</v>
      </c>
    </row>
    <row r="488" spans="2:5">
      <c r="B488" s="48" t="s">
        <v>8</v>
      </c>
      <c r="C488" s="48" t="s">
        <v>9</v>
      </c>
      <c r="D488" s="49">
        <v>45722</v>
      </c>
      <c r="E488" s="10">
        <v>24</v>
      </c>
    </row>
    <row r="489" spans="2:5">
      <c r="B489" s="48" t="s">
        <v>24</v>
      </c>
      <c r="C489" s="48" t="s">
        <v>25</v>
      </c>
      <c r="D489" s="49">
        <v>45722</v>
      </c>
      <c r="E489" s="10">
        <v>5</v>
      </c>
    </row>
    <row r="490" spans="2:5">
      <c r="B490" s="48" t="s">
        <v>14</v>
      </c>
      <c r="C490" s="48" t="s">
        <v>15</v>
      </c>
      <c r="D490" s="49">
        <v>45722</v>
      </c>
      <c r="E490" s="10">
        <v>3</v>
      </c>
    </row>
    <row r="491" spans="2:5">
      <c r="B491" s="48" t="s">
        <v>4</v>
      </c>
      <c r="C491" s="48" t="s">
        <v>5</v>
      </c>
      <c r="D491" s="49">
        <v>45723</v>
      </c>
      <c r="E491" s="10">
        <v>523.5</v>
      </c>
    </row>
    <row r="492" spans="2:5">
      <c r="B492" s="48" t="s">
        <v>31</v>
      </c>
      <c r="C492" s="48" t="s">
        <v>32</v>
      </c>
      <c r="D492" s="49">
        <v>45723</v>
      </c>
      <c r="E492" s="10">
        <v>223.9</v>
      </c>
    </row>
    <row r="493" spans="2:5">
      <c r="B493" s="48" t="s">
        <v>16</v>
      </c>
      <c r="C493" s="48" t="s">
        <v>17</v>
      </c>
      <c r="D493" s="49">
        <v>45723</v>
      </c>
      <c r="E493" s="10">
        <v>140</v>
      </c>
    </row>
    <row r="494" spans="2:5">
      <c r="B494" s="48" t="s">
        <v>24</v>
      </c>
      <c r="C494" s="48" t="s">
        <v>25</v>
      </c>
      <c r="D494" s="49">
        <v>45723</v>
      </c>
      <c r="E494" s="10">
        <v>131</v>
      </c>
    </row>
    <row r="495" spans="2:5">
      <c r="B495" s="48" t="s">
        <v>12</v>
      </c>
      <c r="C495" s="48" t="s">
        <v>13</v>
      </c>
      <c r="D495" s="49">
        <v>45723</v>
      </c>
      <c r="E495" s="10">
        <v>109</v>
      </c>
    </row>
    <row r="496" spans="2:5">
      <c r="B496" s="48" t="s">
        <v>6</v>
      </c>
      <c r="C496" s="48" t="s">
        <v>7</v>
      </c>
      <c r="D496" s="49">
        <v>45723</v>
      </c>
      <c r="E496" s="10">
        <v>85</v>
      </c>
    </row>
    <row r="497" spans="2:5">
      <c r="B497" s="48" t="s">
        <v>8</v>
      </c>
      <c r="C497" s="48" t="s">
        <v>9</v>
      </c>
      <c r="D497" s="49">
        <v>45723</v>
      </c>
      <c r="E497" s="10">
        <v>78</v>
      </c>
    </row>
    <row r="498" spans="2:5">
      <c r="B498" s="48" t="s">
        <v>35</v>
      </c>
      <c r="C498" s="48" t="s">
        <v>36</v>
      </c>
      <c r="D498" s="49">
        <v>45723</v>
      </c>
      <c r="E498" s="10">
        <v>58</v>
      </c>
    </row>
    <row r="499" spans="2:5">
      <c r="B499" s="48" t="s">
        <v>14</v>
      </c>
      <c r="C499" s="48" t="s">
        <v>15</v>
      </c>
      <c r="D499" s="49">
        <v>45723</v>
      </c>
      <c r="E499" s="10">
        <v>54</v>
      </c>
    </row>
    <row r="500" spans="2:5">
      <c r="B500" s="48" t="s">
        <v>18</v>
      </c>
      <c r="C500" s="48" t="s">
        <v>19</v>
      </c>
      <c r="D500" s="49">
        <v>45723</v>
      </c>
      <c r="E500" s="10">
        <v>21</v>
      </c>
    </row>
    <row r="501" spans="2:5">
      <c r="B501" s="48" t="s">
        <v>20</v>
      </c>
      <c r="C501" s="48" t="s">
        <v>21</v>
      </c>
      <c r="D501" s="49">
        <v>45723</v>
      </c>
      <c r="E501" s="10">
        <v>16</v>
      </c>
    </row>
    <row r="502" spans="2:5">
      <c r="B502" s="48" t="s">
        <v>10</v>
      </c>
      <c r="C502" s="48" t="s">
        <v>11</v>
      </c>
      <c r="D502" s="49">
        <v>45723</v>
      </c>
      <c r="E502" s="10">
        <v>16</v>
      </c>
    </row>
    <row r="503" spans="2:5">
      <c r="B503" s="48" t="s">
        <v>37</v>
      </c>
      <c r="C503" s="48" t="s">
        <v>38</v>
      </c>
      <c r="D503" s="49">
        <v>45723</v>
      </c>
      <c r="E503" s="10">
        <v>5</v>
      </c>
    </row>
    <row r="504" spans="2:5">
      <c r="B504" s="48" t="s">
        <v>33</v>
      </c>
      <c r="C504" s="48" t="s">
        <v>34</v>
      </c>
      <c r="D504" s="49">
        <v>45723</v>
      </c>
      <c r="E504" s="10">
        <v>3</v>
      </c>
    </row>
    <row r="505" spans="2:5">
      <c r="B505" s="48" t="s">
        <v>22</v>
      </c>
      <c r="C505" s="48" t="s">
        <v>23</v>
      </c>
      <c r="D505" s="49">
        <v>45723</v>
      </c>
      <c r="E505" s="10">
        <v>2</v>
      </c>
    </row>
    <row r="506" spans="2:5">
      <c r="B506" s="48" t="s">
        <v>8</v>
      </c>
      <c r="C506" s="48" t="s">
        <v>9</v>
      </c>
      <c r="D506" s="49">
        <v>45726</v>
      </c>
      <c r="E506" s="10">
        <v>278</v>
      </c>
    </row>
    <row r="507" spans="2:5">
      <c r="B507" s="48" t="s">
        <v>12</v>
      </c>
      <c r="C507" s="48" t="s">
        <v>13</v>
      </c>
      <c r="D507" s="49">
        <v>45726</v>
      </c>
      <c r="E507" s="10">
        <v>160</v>
      </c>
    </row>
    <row r="508" spans="2:5">
      <c r="B508" s="48" t="s">
        <v>4</v>
      </c>
      <c r="C508" s="48" t="s">
        <v>5</v>
      </c>
      <c r="D508" s="49">
        <v>45726</v>
      </c>
      <c r="E508" s="10">
        <v>124</v>
      </c>
    </row>
    <row r="509" spans="2:5">
      <c r="B509" s="48" t="s">
        <v>16</v>
      </c>
      <c r="C509" s="48" t="s">
        <v>17</v>
      </c>
      <c r="D509" s="49">
        <v>45726</v>
      </c>
      <c r="E509" s="10">
        <v>36</v>
      </c>
    </row>
    <row r="510" spans="2:5">
      <c r="B510" s="48" t="s">
        <v>35</v>
      </c>
      <c r="C510" s="48" t="s">
        <v>36</v>
      </c>
      <c r="D510" s="49">
        <v>45726</v>
      </c>
      <c r="E510" s="10">
        <v>12</v>
      </c>
    </row>
    <row r="511" spans="2:5">
      <c r="B511" s="48" t="s">
        <v>6</v>
      </c>
      <c r="C511" s="48" t="s">
        <v>7</v>
      </c>
      <c r="D511" s="49">
        <v>45726</v>
      </c>
      <c r="E511" s="10">
        <v>12</v>
      </c>
    </row>
    <row r="512" spans="2:5">
      <c r="B512" s="48" t="s">
        <v>10</v>
      </c>
      <c r="C512" s="48" t="s">
        <v>11</v>
      </c>
      <c r="D512" s="49">
        <v>45726</v>
      </c>
      <c r="E512" s="10">
        <v>10</v>
      </c>
    </row>
    <row r="513" spans="2:5">
      <c r="B513" s="48" t="s">
        <v>4</v>
      </c>
      <c r="C513" s="48" t="s">
        <v>5</v>
      </c>
      <c r="D513" s="49">
        <v>45727</v>
      </c>
      <c r="E513" s="10">
        <v>214.9</v>
      </c>
    </row>
    <row r="514" spans="2:5">
      <c r="B514" s="48" t="s">
        <v>6</v>
      </c>
      <c r="C514" s="48" t="s">
        <v>7</v>
      </c>
      <c r="D514" s="49">
        <v>45727</v>
      </c>
      <c r="E514" s="10">
        <v>79</v>
      </c>
    </row>
    <row r="515" spans="2:5">
      <c r="B515" s="48" t="s">
        <v>24</v>
      </c>
      <c r="C515" s="48" t="s">
        <v>25</v>
      </c>
      <c r="D515" s="49">
        <v>45727</v>
      </c>
      <c r="E515" s="10">
        <v>47</v>
      </c>
    </row>
    <row r="516" spans="2:5">
      <c r="B516" s="48" t="s">
        <v>8</v>
      </c>
      <c r="C516" s="48" t="s">
        <v>9</v>
      </c>
      <c r="D516" s="49">
        <v>45727</v>
      </c>
      <c r="E516" s="10">
        <v>42</v>
      </c>
    </row>
    <row r="517" spans="2:5">
      <c r="B517" s="48" t="s">
        <v>37</v>
      </c>
      <c r="C517" s="48" t="s">
        <v>38</v>
      </c>
      <c r="D517" s="49">
        <v>45727</v>
      </c>
      <c r="E517" s="10">
        <v>42</v>
      </c>
    </row>
    <row r="518" spans="2:5">
      <c r="B518" s="48" t="s">
        <v>16</v>
      </c>
      <c r="C518" s="48" t="s">
        <v>17</v>
      </c>
      <c r="D518" s="49">
        <v>45727</v>
      </c>
      <c r="E518" s="10">
        <v>40</v>
      </c>
    </row>
    <row r="519" spans="2:5">
      <c r="B519" s="48" t="s">
        <v>12</v>
      </c>
      <c r="C519" s="48" t="s">
        <v>13</v>
      </c>
      <c r="D519" s="49">
        <v>45727</v>
      </c>
      <c r="E519" s="10">
        <v>34</v>
      </c>
    </row>
    <row r="520" spans="2:5">
      <c r="B520" s="48" t="s">
        <v>14</v>
      </c>
      <c r="C520" s="48" t="s">
        <v>15</v>
      </c>
      <c r="D520" s="49">
        <v>45727</v>
      </c>
      <c r="E520" s="10">
        <v>34</v>
      </c>
    </row>
    <row r="521" spans="2:5">
      <c r="B521" s="48" t="s">
        <v>20</v>
      </c>
      <c r="C521" s="48" t="s">
        <v>21</v>
      </c>
      <c r="D521" s="49">
        <v>45727</v>
      </c>
      <c r="E521" s="10">
        <v>22</v>
      </c>
    </row>
    <row r="522" spans="2:5">
      <c r="B522" s="48" t="s">
        <v>35</v>
      </c>
      <c r="C522" s="48" t="s">
        <v>36</v>
      </c>
      <c r="D522" s="49">
        <v>45727</v>
      </c>
      <c r="E522" s="10">
        <v>20</v>
      </c>
    </row>
    <row r="523" spans="2:5">
      <c r="B523" s="48" t="s">
        <v>18</v>
      </c>
      <c r="C523" s="48" t="s">
        <v>19</v>
      </c>
      <c r="D523" s="49">
        <v>45727</v>
      </c>
      <c r="E523" s="10">
        <v>12</v>
      </c>
    </row>
    <row r="524" spans="2:5">
      <c r="B524" s="48" t="s">
        <v>4</v>
      </c>
      <c r="C524" s="48" t="s">
        <v>5</v>
      </c>
      <c r="D524" s="49">
        <v>45728</v>
      </c>
      <c r="E524" s="10">
        <v>365</v>
      </c>
    </row>
    <row r="525" spans="2:5">
      <c r="B525" s="48" t="s">
        <v>16</v>
      </c>
      <c r="C525" s="48" t="s">
        <v>17</v>
      </c>
      <c r="D525" s="49">
        <v>45728</v>
      </c>
      <c r="E525" s="10">
        <v>70</v>
      </c>
    </row>
    <row r="526" spans="2:5">
      <c r="B526" s="48" t="s">
        <v>8</v>
      </c>
      <c r="C526" s="48" t="s">
        <v>9</v>
      </c>
      <c r="D526" s="49">
        <v>45728</v>
      </c>
      <c r="E526" s="10">
        <v>67</v>
      </c>
    </row>
    <row r="527" spans="2:5">
      <c r="B527" s="48" t="s">
        <v>35</v>
      </c>
      <c r="C527" s="48" t="s">
        <v>36</v>
      </c>
      <c r="D527" s="49">
        <v>45728</v>
      </c>
      <c r="E527" s="10">
        <v>20</v>
      </c>
    </row>
    <row r="528" spans="2:5">
      <c r="B528" s="48" t="s">
        <v>12</v>
      </c>
      <c r="C528" s="48" t="s">
        <v>13</v>
      </c>
      <c r="D528" s="49">
        <v>45728</v>
      </c>
      <c r="E528" s="10">
        <v>18</v>
      </c>
    </row>
    <row r="529" spans="2:5">
      <c r="B529" s="48" t="s">
        <v>6</v>
      </c>
      <c r="C529" s="48" t="s">
        <v>7</v>
      </c>
      <c r="D529" s="49">
        <v>45728</v>
      </c>
      <c r="E529" s="10">
        <v>14</v>
      </c>
    </row>
    <row r="530" spans="2:5">
      <c r="B530" s="48" t="s">
        <v>37</v>
      </c>
      <c r="C530" s="48" t="s">
        <v>38</v>
      </c>
      <c r="D530" s="49">
        <v>45728</v>
      </c>
      <c r="E530" s="10">
        <v>11</v>
      </c>
    </row>
    <row r="531" spans="2:5">
      <c r="B531" s="48" t="s">
        <v>10</v>
      </c>
      <c r="C531" s="48" t="s">
        <v>11</v>
      </c>
      <c r="D531" s="49">
        <v>45728</v>
      </c>
      <c r="E531" s="10">
        <v>4</v>
      </c>
    </row>
    <row r="532" spans="2:5">
      <c r="B532" s="48" t="s">
        <v>18</v>
      </c>
      <c r="C532" s="48" t="s">
        <v>19</v>
      </c>
      <c r="D532" s="49">
        <v>45728</v>
      </c>
      <c r="E532" s="10">
        <v>4</v>
      </c>
    </row>
    <row r="533" spans="2:5">
      <c r="B533" s="48" t="s">
        <v>24</v>
      </c>
      <c r="C533" s="48" t="s">
        <v>25</v>
      </c>
      <c r="D533" s="49">
        <v>45728</v>
      </c>
      <c r="E533" s="10">
        <v>2</v>
      </c>
    </row>
    <row r="534" spans="2:5">
      <c r="B534" s="48" t="s">
        <v>14</v>
      </c>
      <c r="C534" s="48" t="s">
        <v>15</v>
      </c>
      <c r="D534" s="49">
        <v>45728</v>
      </c>
      <c r="E534" s="10">
        <v>1</v>
      </c>
    </row>
    <row r="535" spans="2:5">
      <c r="B535" s="48" t="s">
        <v>4</v>
      </c>
      <c r="C535" s="48" t="s">
        <v>5</v>
      </c>
      <c r="D535" s="49">
        <v>45729</v>
      </c>
      <c r="E535" s="10">
        <v>252.2</v>
      </c>
    </row>
    <row r="536" spans="2:5">
      <c r="B536" s="48" t="s">
        <v>8</v>
      </c>
      <c r="C536" s="48" t="s">
        <v>9</v>
      </c>
      <c r="D536" s="49">
        <v>45729</v>
      </c>
      <c r="E536" s="10">
        <v>166</v>
      </c>
    </row>
    <row r="537" spans="2:5">
      <c r="B537" s="48" t="s">
        <v>12</v>
      </c>
      <c r="C537" s="48" t="s">
        <v>13</v>
      </c>
      <c r="D537" s="49">
        <v>45729</v>
      </c>
      <c r="E537" s="10">
        <v>125</v>
      </c>
    </row>
    <row r="538" spans="2:5">
      <c r="B538" s="48" t="s">
        <v>6</v>
      </c>
      <c r="C538" s="48" t="s">
        <v>7</v>
      </c>
      <c r="D538" s="49">
        <v>45729</v>
      </c>
      <c r="E538" s="10">
        <v>104</v>
      </c>
    </row>
    <row r="539" spans="2:5">
      <c r="B539" s="48" t="s">
        <v>31</v>
      </c>
      <c r="C539" s="48" t="s">
        <v>32</v>
      </c>
      <c r="D539" s="49">
        <v>45729</v>
      </c>
      <c r="E539" s="10">
        <v>66</v>
      </c>
    </row>
    <row r="540" spans="2:5">
      <c r="B540" s="48" t="s">
        <v>37</v>
      </c>
      <c r="C540" s="48" t="s">
        <v>38</v>
      </c>
      <c r="D540" s="49">
        <v>45729</v>
      </c>
      <c r="E540" s="10">
        <v>32</v>
      </c>
    </row>
    <row r="541" spans="2:5">
      <c r="B541" s="48" t="s">
        <v>22</v>
      </c>
      <c r="C541" s="48" t="s">
        <v>23</v>
      </c>
      <c r="D541" s="49">
        <v>45729</v>
      </c>
      <c r="E541" s="10">
        <v>26</v>
      </c>
    </row>
    <row r="542" spans="2:5">
      <c r="B542" s="48" t="s">
        <v>24</v>
      </c>
      <c r="C542" s="48" t="s">
        <v>25</v>
      </c>
      <c r="D542" s="49">
        <v>45729</v>
      </c>
      <c r="E542" s="10">
        <v>23</v>
      </c>
    </row>
    <row r="543" spans="2:5">
      <c r="B543" s="48" t="s">
        <v>16</v>
      </c>
      <c r="C543" s="48" t="s">
        <v>17</v>
      </c>
      <c r="D543" s="49">
        <v>45729</v>
      </c>
      <c r="E543" s="10">
        <v>23</v>
      </c>
    </row>
    <row r="544" spans="2:5">
      <c r="B544" s="48" t="s">
        <v>10</v>
      </c>
      <c r="C544" s="48" t="s">
        <v>11</v>
      </c>
      <c r="D544" s="49">
        <v>45729</v>
      </c>
      <c r="E544" s="10">
        <v>12</v>
      </c>
    </row>
    <row r="545" spans="2:5">
      <c r="B545" s="48" t="s">
        <v>18</v>
      </c>
      <c r="C545" s="48" t="s">
        <v>19</v>
      </c>
      <c r="D545" s="49">
        <v>45729</v>
      </c>
      <c r="E545" s="10">
        <v>9</v>
      </c>
    </row>
    <row r="546" spans="2:5">
      <c r="B546" s="48" t="s">
        <v>20</v>
      </c>
      <c r="C546" s="48" t="s">
        <v>21</v>
      </c>
      <c r="D546" s="49">
        <v>45729</v>
      </c>
      <c r="E546" s="10">
        <v>2</v>
      </c>
    </row>
    <row r="547" spans="2:5">
      <c r="B547" s="48" t="s">
        <v>14</v>
      </c>
      <c r="C547" s="48" t="s">
        <v>15</v>
      </c>
      <c r="D547" s="49">
        <v>45729</v>
      </c>
      <c r="E547" s="10">
        <v>2</v>
      </c>
    </row>
    <row r="548" spans="2:5">
      <c r="B548" s="48" t="s">
        <v>4</v>
      </c>
      <c r="C548" s="48" t="s">
        <v>5</v>
      </c>
      <c r="D548" s="49">
        <v>45730</v>
      </c>
      <c r="E548" s="10">
        <v>371.9</v>
      </c>
    </row>
    <row r="549" spans="2:5">
      <c r="B549" s="48" t="s">
        <v>10</v>
      </c>
      <c r="C549" s="48" t="s">
        <v>11</v>
      </c>
      <c r="D549" s="49">
        <v>45730</v>
      </c>
      <c r="E549" s="10">
        <v>70</v>
      </c>
    </row>
    <row r="550" spans="2:5">
      <c r="B550" s="48" t="s">
        <v>8</v>
      </c>
      <c r="C550" s="48" t="s">
        <v>9</v>
      </c>
      <c r="D550" s="49">
        <v>45730</v>
      </c>
      <c r="E550" s="10">
        <v>67</v>
      </c>
    </row>
    <row r="551" spans="2:5">
      <c r="B551" s="48" t="s">
        <v>12</v>
      </c>
      <c r="C551" s="48" t="s">
        <v>13</v>
      </c>
      <c r="D551" s="49">
        <v>45730</v>
      </c>
      <c r="E551" s="10">
        <v>38</v>
      </c>
    </row>
    <row r="552" spans="2:5">
      <c r="B552" s="48" t="s">
        <v>6</v>
      </c>
      <c r="C552" s="48" t="s">
        <v>7</v>
      </c>
      <c r="D552" s="49">
        <v>45730</v>
      </c>
      <c r="E552" s="10">
        <v>29</v>
      </c>
    </row>
    <row r="553" spans="2:5">
      <c r="B553" s="48" t="s">
        <v>14</v>
      </c>
      <c r="C553" s="48" t="s">
        <v>15</v>
      </c>
      <c r="D553" s="49">
        <v>45730</v>
      </c>
      <c r="E553" s="10">
        <v>28</v>
      </c>
    </row>
    <row r="554" spans="2:5">
      <c r="B554" s="48" t="s">
        <v>16</v>
      </c>
      <c r="C554" s="48" t="s">
        <v>17</v>
      </c>
      <c r="D554" s="49">
        <v>45730</v>
      </c>
      <c r="E554" s="10">
        <v>13</v>
      </c>
    </row>
    <row r="555" spans="2:5">
      <c r="B555" s="48" t="s">
        <v>22</v>
      </c>
      <c r="C555" s="48" t="s">
        <v>23</v>
      </c>
      <c r="D555" s="49">
        <v>45730</v>
      </c>
      <c r="E555" s="10">
        <v>11</v>
      </c>
    </row>
    <row r="556" spans="2:5">
      <c r="B556" s="48" t="s">
        <v>35</v>
      </c>
      <c r="C556" s="48" t="s">
        <v>36</v>
      </c>
      <c r="D556" s="49">
        <v>45730</v>
      </c>
      <c r="E556" s="10">
        <v>9</v>
      </c>
    </row>
    <row r="557" spans="2:5">
      <c r="B557" s="48" t="s">
        <v>20</v>
      </c>
      <c r="C557" s="48" t="s">
        <v>21</v>
      </c>
      <c r="D557" s="49">
        <v>45730</v>
      </c>
      <c r="E557" s="10">
        <v>8</v>
      </c>
    </row>
    <row r="558" spans="2:5">
      <c r="B558" s="48" t="s">
        <v>18</v>
      </c>
      <c r="C558" s="48" t="s">
        <v>19</v>
      </c>
      <c r="D558" s="49">
        <v>45730</v>
      </c>
      <c r="E558" s="10">
        <v>4</v>
      </c>
    </row>
    <row r="559" spans="2:5">
      <c r="B559" s="48" t="s">
        <v>4</v>
      </c>
      <c r="C559" s="48" t="s">
        <v>5</v>
      </c>
      <c r="D559" s="49">
        <v>45731</v>
      </c>
      <c r="E559" s="10">
        <v>465.1</v>
      </c>
    </row>
    <row r="560" spans="2:5">
      <c r="B560" s="48" t="s">
        <v>31</v>
      </c>
      <c r="C560" s="48" t="s">
        <v>32</v>
      </c>
      <c r="D560" s="49">
        <v>45731</v>
      </c>
      <c r="E560" s="10">
        <v>74</v>
      </c>
    </row>
    <row r="561" spans="2:5">
      <c r="B561" s="48" t="s">
        <v>16</v>
      </c>
      <c r="C561" s="48" t="s">
        <v>17</v>
      </c>
      <c r="D561" s="49">
        <v>45731</v>
      </c>
      <c r="E561" s="10">
        <v>35</v>
      </c>
    </row>
    <row r="562" spans="2:5">
      <c r="B562" s="48" t="s">
        <v>12</v>
      </c>
      <c r="C562" s="48" t="s">
        <v>13</v>
      </c>
      <c r="D562" s="49">
        <v>45731</v>
      </c>
      <c r="E562" s="10">
        <v>32</v>
      </c>
    </row>
    <row r="563" spans="2:5">
      <c r="B563" s="48" t="s">
        <v>35</v>
      </c>
      <c r="C563" s="48" t="s">
        <v>36</v>
      </c>
      <c r="D563" s="49">
        <v>45731</v>
      </c>
      <c r="E563" s="10">
        <v>29.25</v>
      </c>
    </row>
    <row r="564" spans="2:5">
      <c r="B564" s="48" t="s">
        <v>24</v>
      </c>
      <c r="C564" s="48" t="s">
        <v>25</v>
      </c>
      <c r="D564" s="49">
        <v>45731</v>
      </c>
      <c r="E564" s="10">
        <v>22</v>
      </c>
    </row>
    <row r="565" spans="2:5">
      <c r="B565" s="48" t="s">
        <v>8</v>
      </c>
      <c r="C565" s="48" t="s">
        <v>9</v>
      </c>
      <c r="D565" s="49">
        <v>45731</v>
      </c>
      <c r="E565" s="10">
        <v>22</v>
      </c>
    </row>
    <row r="566" spans="2:5">
      <c r="B566" s="48" t="s">
        <v>37</v>
      </c>
      <c r="C566" s="48" t="s">
        <v>38</v>
      </c>
      <c r="D566" s="49">
        <v>45731</v>
      </c>
      <c r="E566" s="10">
        <v>11</v>
      </c>
    </row>
    <row r="567" spans="2:5">
      <c r="B567" s="48" t="s">
        <v>6</v>
      </c>
      <c r="C567" s="48" t="s">
        <v>7</v>
      </c>
      <c r="D567" s="49">
        <v>45731</v>
      </c>
      <c r="E567" s="10">
        <v>11</v>
      </c>
    </row>
    <row r="568" spans="2:5">
      <c r="B568" s="48" t="s">
        <v>33</v>
      </c>
      <c r="C568" s="48" t="s">
        <v>34</v>
      </c>
      <c r="D568" s="49">
        <v>45731</v>
      </c>
      <c r="E568" s="10">
        <v>5</v>
      </c>
    </row>
    <row r="569" spans="2:5">
      <c r="B569" s="48" t="s">
        <v>10</v>
      </c>
      <c r="C569" s="48" t="s">
        <v>11</v>
      </c>
      <c r="D569" s="49">
        <v>45731</v>
      </c>
      <c r="E569" s="10">
        <v>3</v>
      </c>
    </row>
    <row r="570" spans="2:5">
      <c r="B570" s="48" t="s">
        <v>20</v>
      </c>
      <c r="C570" s="48" t="s">
        <v>21</v>
      </c>
      <c r="D570" s="49">
        <v>45731</v>
      </c>
      <c r="E570" s="10">
        <v>2</v>
      </c>
    </row>
    <row r="571" spans="2:5">
      <c r="B571" s="48" t="s">
        <v>4</v>
      </c>
      <c r="C571" s="48" t="s">
        <v>5</v>
      </c>
      <c r="D571" s="49">
        <v>45733</v>
      </c>
      <c r="E571" s="10">
        <v>348</v>
      </c>
    </row>
    <row r="572" spans="2:5">
      <c r="B572" s="48" t="s">
        <v>8</v>
      </c>
      <c r="C572" s="48" t="s">
        <v>9</v>
      </c>
      <c r="D572" s="49">
        <v>45733</v>
      </c>
      <c r="E572" s="10">
        <v>86</v>
      </c>
    </row>
    <row r="573" spans="2:5">
      <c r="B573" s="48" t="s">
        <v>22</v>
      </c>
      <c r="C573" s="48" t="s">
        <v>23</v>
      </c>
      <c r="D573" s="49">
        <v>45733</v>
      </c>
      <c r="E573" s="10">
        <v>22</v>
      </c>
    </row>
    <row r="574" spans="2:5">
      <c r="B574" s="48" t="s">
        <v>6</v>
      </c>
      <c r="C574" s="48" t="s">
        <v>7</v>
      </c>
      <c r="D574" s="49">
        <v>45733</v>
      </c>
      <c r="E574" s="10">
        <v>16</v>
      </c>
    </row>
    <row r="575" spans="2:5">
      <c r="B575" s="48" t="s">
        <v>10</v>
      </c>
      <c r="C575" s="48" t="s">
        <v>11</v>
      </c>
      <c r="D575" s="49">
        <v>45733</v>
      </c>
      <c r="E575" s="10">
        <v>16</v>
      </c>
    </row>
    <row r="576" spans="2:5">
      <c r="B576" s="48" t="s">
        <v>16</v>
      </c>
      <c r="C576" s="48" t="s">
        <v>17</v>
      </c>
      <c r="D576" s="49">
        <v>45733</v>
      </c>
      <c r="E576" s="10">
        <v>13</v>
      </c>
    </row>
    <row r="577" spans="2:5">
      <c r="B577" s="48" t="s">
        <v>12</v>
      </c>
      <c r="C577" s="48" t="s">
        <v>13</v>
      </c>
      <c r="D577" s="49">
        <v>45733</v>
      </c>
      <c r="E577" s="10">
        <v>11</v>
      </c>
    </row>
    <row r="578" spans="2:5">
      <c r="B578" s="48" t="s">
        <v>37</v>
      </c>
      <c r="C578" s="48" t="s">
        <v>38</v>
      </c>
      <c r="D578" s="49">
        <v>45733</v>
      </c>
      <c r="E578" s="10">
        <v>10</v>
      </c>
    </row>
    <row r="579" spans="2:5">
      <c r="B579" s="48" t="s">
        <v>33</v>
      </c>
      <c r="C579" s="48" t="s">
        <v>34</v>
      </c>
      <c r="D579" s="49">
        <v>45733</v>
      </c>
      <c r="E579" s="10">
        <v>3</v>
      </c>
    </row>
    <row r="580" spans="2:5">
      <c r="B580" s="48" t="s">
        <v>4</v>
      </c>
      <c r="C580" s="48" t="s">
        <v>5</v>
      </c>
      <c r="D580" s="49">
        <v>45734</v>
      </c>
      <c r="E580" s="10">
        <v>446.4</v>
      </c>
    </row>
    <row r="581" spans="2:5">
      <c r="B581" s="48" t="s">
        <v>8</v>
      </c>
      <c r="C581" s="48" t="s">
        <v>9</v>
      </c>
      <c r="D581" s="49">
        <v>45734</v>
      </c>
      <c r="E581" s="10">
        <v>216</v>
      </c>
    </row>
    <row r="582" spans="2:5">
      <c r="B582" s="48" t="s">
        <v>12</v>
      </c>
      <c r="C582" s="48" t="s">
        <v>13</v>
      </c>
      <c r="D582" s="49">
        <v>45734</v>
      </c>
      <c r="E582" s="10">
        <v>144</v>
      </c>
    </row>
    <row r="583" spans="2:5">
      <c r="B583" s="48" t="s">
        <v>6</v>
      </c>
      <c r="C583" s="48" t="s">
        <v>7</v>
      </c>
      <c r="D583" s="49">
        <v>45734</v>
      </c>
      <c r="E583" s="10">
        <v>94</v>
      </c>
    </row>
    <row r="584" spans="2:5">
      <c r="B584" s="48" t="s">
        <v>10</v>
      </c>
      <c r="C584" s="48" t="s">
        <v>11</v>
      </c>
      <c r="D584" s="49">
        <v>45734</v>
      </c>
      <c r="E584" s="10">
        <v>76</v>
      </c>
    </row>
    <row r="585" spans="2:5">
      <c r="B585" s="48" t="s">
        <v>16</v>
      </c>
      <c r="C585" s="48" t="s">
        <v>17</v>
      </c>
      <c r="D585" s="49">
        <v>45734</v>
      </c>
      <c r="E585" s="10">
        <v>28</v>
      </c>
    </row>
    <row r="586" spans="2:5">
      <c r="B586" s="48" t="s">
        <v>35</v>
      </c>
      <c r="C586" s="48" t="s">
        <v>36</v>
      </c>
      <c r="D586" s="49">
        <v>45734</v>
      </c>
      <c r="E586" s="10">
        <v>23</v>
      </c>
    </row>
    <row r="587" spans="2:5">
      <c r="B587" s="48" t="s">
        <v>37</v>
      </c>
      <c r="C587" s="48" t="s">
        <v>38</v>
      </c>
      <c r="D587" s="49">
        <v>45734</v>
      </c>
      <c r="E587" s="10">
        <v>10</v>
      </c>
    </row>
    <row r="588" spans="2:5">
      <c r="B588" s="48" t="s">
        <v>18</v>
      </c>
      <c r="C588" s="48" t="s">
        <v>19</v>
      </c>
      <c r="D588" s="49">
        <v>45734</v>
      </c>
      <c r="E588" s="10">
        <v>4</v>
      </c>
    </row>
    <row r="589" spans="2:5">
      <c r="B589" s="48" t="s">
        <v>14</v>
      </c>
      <c r="C589" s="48" t="s">
        <v>15</v>
      </c>
      <c r="D589" s="49">
        <v>45734</v>
      </c>
      <c r="E589" s="10">
        <v>3</v>
      </c>
    </row>
    <row r="590" spans="2:5">
      <c r="B590" s="48" t="s">
        <v>24</v>
      </c>
      <c r="C590" s="48" t="s">
        <v>25</v>
      </c>
      <c r="D590" s="49">
        <v>45734</v>
      </c>
      <c r="E590" s="10">
        <v>2</v>
      </c>
    </row>
    <row r="591" spans="2:5">
      <c r="B591" s="48" t="s">
        <v>4</v>
      </c>
      <c r="C591" s="48" t="s">
        <v>5</v>
      </c>
      <c r="D591" s="49">
        <v>45735</v>
      </c>
      <c r="E591" s="10">
        <v>659.2</v>
      </c>
    </row>
    <row r="592" spans="2:5">
      <c r="B592" s="48" t="s">
        <v>6</v>
      </c>
      <c r="C592" s="48" t="s">
        <v>7</v>
      </c>
      <c r="D592" s="49">
        <v>45735</v>
      </c>
      <c r="E592" s="10">
        <v>110</v>
      </c>
    </row>
    <row r="593" spans="2:5">
      <c r="B593" s="48" t="s">
        <v>8</v>
      </c>
      <c r="C593" s="48" t="s">
        <v>9</v>
      </c>
      <c r="D593" s="49">
        <v>45735</v>
      </c>
      <c r="E593" s="10">
        <v>92</v>
      </c>
    </row>
    <row r="594" spans="2:5">
      <c r="B594" s="48" t="s">
        <v>31</v>
      </c>
      <c r="C594" s="48" t="s">
        <v>32</v>
      </c>
      <c r="D594" s="49">
        <v>45735</v>
      </c>
      <c r="E594" s="10">
        <v>89.4</v>
      </c>
    </row>
    <row r="595" spans="2:5">
      <c r="B595" s="48" t="s">
        <v>10</v>
      </c>
      <c r="C595" s="48" t="s">
        <v>11</v>
      </c>
      <c r="D595" s="49">
        <v>45735</v>
      </c>
      <c r="E595" s="10">
        <v>79</v>
      </c>
    </row>
    <row r="596" spans="2:5">
      <c r="B596" s="48" t="s">
        <v>16</v>
      </c>
      <c r="C596" s="48" t="s">
        <v>17</v>
      </c>
      <c r="D596" s="49">
        <v>45735</v>
      </c>
      <c r="E596" s="10">
        <v>78</v>
      </c>
    </row>
    <row r="597" spans="2:5">
      <c r="B597" s="48" t="s">
        <v>20</v>
      </c>
      <c r="C597" s="48" t="s">
        <v>21</v>
      </c>
      <c r="D597" s="49">
        <v>45735</v>
      </c>
      <c r="E597" s="10">
        <v>58</v>
      </c>
    </row>
    <row r="598" spans="2:5">
      <c r="B598" s="48" t="s">
        <v>35</v>
      </c>
      <c r="C598" s="48" t="s">
        <v>36</v>
      </c>
      <c r="D598" s="49">
        <v>45735</v>
      </c>
      <c r="E598" s="10">
        <v>53</v>
      </c>
    </row>
    <row r="599" spans="2:5">
      <c r="B599" s="48" t="s">
        <v>18</v>
      </c>
      <c r="C599" s="48" t="s">
        <v>19</v>
      </c>
      <c r="D599" s="49">
        <v>45735</v>
      </c>
      <c r="E599" s="10">
        <v>34</v>
      </c>
    </row>
    <row r="600" spans="2:5">
      <c r="B600" s="48" t="s">
        <v>12</v>
      </c>
      <c r="C600" s="48" t="s">
        <v>13</v>
      </c>
      <c r="D600" s="49">
        <v>45735</v>
      </c>
      <c r="E600" s="10">
        <v>30</v>
      </c>
    </row>
    <row r="601" spans="2:5">
      <c r="B601" s="48" t="s">
        <v>37</v>
      </c>
      <c r="C601" s="48" t="s">
        <v>38</v>
      </c>
      <c r="D601" s="49">
        <v>45735</v>
      </c>
      <c r="E601" s="10">
        <v>28</v>
      </c>
    </row>
    <row r="602" spans="2:5">
      <c r="B602" s="48" t="s">
        <v>24</v>
      </c>
      <c r="C602" s="48" t="s">
        <v>25</v>
      </c>
      <c r="D602" s="49">
        <v>45735</v>
      </c>
      <c r="E602" s="10">
        <v>22</v>
      </c>
    </row>
    <row r="603" spans="2:5">
      <c r="B603" s="48" t="s">
        <v>46</v>
      </c>
      <c r="C603" s="48" t="s">
        <v>47</v>
      </c>
      <c r="D603" s="49">
        <v>45735</v>
      </c>
      <c r="E603" s="10">
        <v>16</v>
      </c>
    </row>
    <row r="604" spans="2:5">
      <c r="B604" s="48" t="s">
        <v>14</v>
      </c>
      <c r="C604" s="48" t="s">
        <v>15</v>
      </c>
      <c r="D604" s="49">
        <v>45735</v>
      </c>
      <c r="E604" s="10">
        <v>9</v>
      </c>
    </row>
    <row r="605" spans="2:5">
      <c r="B605" s="48" t="s">
        <v>4</v>
      </c>
      <c r="C605" s="48" t="s">
        <v>5</v>
      </c>
      <c r="D605" s="49">
        <v>45736</v>
      </c>
      <c r="E605" s="10">
        <v>105.5</v>
      </c>
    </row>
    <row r="606" spans="2:5">
      <c r="B606" s="48" t="s">
        <v>6</v>
      </c>
      <c r="C606" s="48" t="s">
        <v>7</v>
      </c>
      <c r="D606" s="49">
        <v>45736</v>
      </c>
      <c r="E606" s="10">
        <v>84</v>
      </c>
    </row>
    <row r="607" spans="2:5">
      <c r="B607" s="48" t="s">
        <v>8</v>
      </c>
      <c r="C607" s="48" t="s">
        <v>9</v>
      </c>
      <c r="D607" s="49">
        <v>45736</v>
      </c>
      <c r="E607" s="10">
        <v>75</v>
      </c>
    </row>
    <row r="608" spans="2:5">
      <c r="B608" s="48" t="s">
        <v>16</v>
      </c>
      <c r="C608" s="48" t="s">
        <v>17</v>
      </c>
      <c r="D608" s="49">
        <v>45736</v>
      </c>
      <c r="E608" s="10">
        <v>59</v>
      </c>
    </row>
    <row r="609" spans="2:5">
      <c r="B609" s="48" t="s">
        <v>18</v>
      </c>
      <c r="C609" s="48" t="s">
        <v>19</v>
      </c>
      <c r="D609" s="49">
        <v>45736</v>
      </c>
      <c r="E609" s="10">
        <v>44</v>
      </c>
    </row>
    <row r="610" spans="2:5">
      <c r="B610" s="48" t="s">
        <v>12</v>
      </c>
      <c r="C610" s="48" t="s">
        <v>13</v>
      </c>
      <c r="D610" s="49">
        <v>45736</v>
      </c>
      <c r="E610" s="10">
        <v>44</v>
      </c>
    </row>
    <row r="611" spans="2:5">
      <c r="B611" s="48" t="s">
        <v>14</v>
      </c>
      <c r="C611" s="48" t="s">
        <v>15</v>
      </c>
      <c r="D611" s="49">
        <v>45736</v>
      </c>
      <c r="E611" s="10">
        <v>37</v>
      </c>
    </row>
    <row r="612" spans="2:5">
      <c r="B612" s="48" t="s">
        <v>37</v>
      </c>
      <c r="C612" s="48" t="s">
        <v>38</v>
      </c>
      <c r="D612" s="49">
        <v>45736</v>
      </c>
      <c r="E612" s="10">
        <v>36</v>
      </c>
    </row>
    <row r="613" spans="2:5">
      <c r="B613" s="48" t="s">
        <v>22</v>
      </c>
      <c r="C613" s="48" t="s">
        <v>23</v>
      </c>
      <c r="D613" s="49">
        <v>45736</v>
      </c>
      <c r="E613" s="10">
        <v>15</v>
      </c>
    </row>
    <row r="614" spans="2:5">
      <c r="B614" s="48" t="s">
        <v>35</v>
      </c>
      <c r="C614" s="48" t="s">
        <v>36</v>
      </c>
      <c r="D614" s="49">
        <v>45736</v>
      </c>
      <c r="E614" s="10">
        <v>14</v>
      </c>
    </row>
    <row r="615" spans="2:5">
      <c r="B615" s="48" t="s">
        <v>24</v>
      </c>
      <c r="C615" s="48" t="s">
        <v>25</v>
      </c>
      <c r="D615" s="49">
        <v>45736</v>
      </c>
      <c r="E615" s="10">
        <v>13</v>
      </c>
    </row>
    <row r="616" spans="2:5">
      <c r="B616" s="48" t="s">
        <v>10</v>
      </c>
      <c r="C616" s="48" t="s">
        <v>11</v>
      </c>
      <c r="D616" s="49">
        <v>45736</v>
      </c>
      <c r="E616" s="10">
        <v>8</v>
      </c>
    </row>
    <row r="617" spans="2:5">
      <c r="B617" s="48" t="s">
        <v>31</v>
      </c>
      <c r="C617" s="48" t="s">
        <v>32</v>
      </c>
      <c r="D617" s="49">
        <v>45737</v>
      </c>
      <c r="E617" s="10">
        <v>396.02</v>
      </c>
    </row>
    <row r="618" spans="2:5">
      <c r="B618" s="48" t="s">
        <v>4</v>
      </c>
      <c r="C618" s="48" t="s">
        <v>5</v>
      </c>
      <c r="D618" s="49">
        <v>45737</v>
      </c>
      <c r="E618" s="10">
        <v>315.5</v>
      </c>
    </row>
    <row r="619" spans="2:5">
      <c r="B619" s="48" t="s">
        <v>12</v>
      </c>
      <c r="C619" s="48" t="s">
        <v>13</v>
      </c>
      <c r="D619" s="49">
        <v>45737</v>
      </c>
      <c r="E619" s="10">
        <v>89</v>
      </c>
    </row>
    <row r="620" spans="2:5">
      <c r="B620" s="48" t="s">
        <v>8</v>
      </c>
      <c r="C620" s="48" t="s">
        <v>9</v>
      </c>
      <c r="D620" s="49">
        <v>45737</v>
      </c>
      <c r="E620" s="10">
        <v>64</v>
      </c>
    </row>
    <row r="621" spans="2:5">
      <c r="B621" s="48" t="s">
        <v>6</v>
      </c>
      <c r="C621" s="48" t="s">
        <v>7</v>
      </c>
      <c r="D621" s="49">
        <v>45737</v>
      </c>
      <c r="E621" s="10">
        <v>55</v>
      </c>
    </row>
    <row r="622" spans="2:5">
      <c r="B622" s="48" t="s">
        <v>14</v>
      </c>
      <c r="C622" s="48" t="s">
        <v>15</v>
      </c>
      <c r="D622" s="49">
        <v>45737</v>
      </c>
      <c r="E622" s="10">
        <v>52</v>
      </c>
    </row>
    <row r="623" spans="2:5">
      <c r="B623" s="48" t="s">
        <v>10</v>
      </c>
      <c r="C623" s="48" t="s">
        <v>11</v>
      </c>
      <c r="D623" s="49">
        <v>45737</v>
      </c>
      <c r="E623" s="10">
        <v>29</v>
      </c>
    </row>
    <row r="624" spans="2:5">
      <c r="B624" s="48" t="s">
        <v>33</v>
      </c>
      <c r="C624" s="48" t="s">
        <v>34</v>
      </c>
      <c r="D624" s="49">
        <v>45737</v>
      </c>
      <c r="E624" s="10">
        <v>20</v>
      </c>
    </row>
    <row r="625" spans="2:5">
      <c r="B625" s="48" t="s">
        <v>20</v>
      </c>
      <c r="C625" s="48" t="s">
        <v>21</v>
      </c>
      <c r="D625" s="49">
        <v>45737</v>
      </c>
      <c r="E625" s="10">
        <v>18</v>
      </c>
    </row>
    <row r="626" spans="2:5">
      <c r="B626" s="48" t="s">
        <v>24</v>
      </c>
      <c r="C626" s="48" t="s">
        <v>25</v>
      </c>
      <c r="D626" s="49">
        <v>45737</v>
      </c>
      <c r="E626" s="10">
        <v>12</v>
      </c>
    </row>
    <row r="627" spans="2:5">
      <c r="B627" s="48" t="s">
        <v>22</v>
      </c>
      <c r="C627" s="48" t="s">
        <v>23</v>
      </c>
      <c r="D627" s="49">
        <v>45737</v>
      </c>
      <c r="E627" s="10">
        <v>8</v>
      </c>
    </row>
    <row r="628" spans="2:5">
      <c r="B628" s="48" t="s">
        <v>46</v>
      </c>
      <c r="C628" s="48" t="s">
        <v>47</v>
      </c>
      <c r="D628" s="49">
        <v>45737</v>
      </c>
      <c r="E628" s="10">
        <v>3</v>
      </c>
    </row>
    <row r="629" spans="2:5">
      <c r="B629" s="48" t="s">
        <v>16</v>
      </c>
      <c r="C629" s="48" t="s">
        <v>17</v>
      </c>
      <c r="D629" s="49">
        <v>45737</v>
      </c>
      <c r="E629" s="10">
        <v>1</v>
      </c>
    </row>
    <row r="630" spans="2:5">
      <c r="B630" s="48" t="s">
        <v>31</v>
      </c>
      <c r="C630" s="48" t="s">
        <v>32</v>
      </c>
      <c r="D630" s="49">
        <v>45740</v>
      </c>
      <c r="E630" s="10">
        <v>89.4</v>
      </c>
    </row>
    <row r="631" spans="2:5">
      <c r="B631" s="48" t="s">
        <v>12</v>
      </c>
      <c r="C631" s="48" t="s">
        <v>13</v>
      </c>
      <c r="D631" s="49">
        <v>45740</v>
      </c>
      <c r="E631" s="10">
        <v>31</v>
      </c>
    </row>
    <row r="632" spans="2:5">
      <c r="B632" s="48" t="s">
        <v>8</v>
      </c>
      <c r="C632" s="48" t="s">
        <v>9</v>
      </c>
      <c r="D632" s="49">
        <v>45740</v>
      </c>
      <c r="E632" s="10">
        <v>28</v>
      </c>
    </row>
    <row r="633" spans="2:5">
      <c r="B633" s="48" t="s">
        <v>16</v>
      </c>
      <c r="C633" s="48" t="s">
        <v>17</v>
      </c>
      <c r="D633" s="49">
        <v>45740</v>
      </c>
      <c r="E633" s="10">
        <v>19</v>
      </c>
    </row>
    <row r="634" spans="2:5">
      <c r="B634" s="48" t="s">
        <v>20</v>
      </c>
      <c r="C634" s="48" t="s">
        <v>21</v>
      </c>
      <c r="D634" s="49">
        <v>45740</v>
      </c>
      <c r="E634" s="10">
        <v>17</v>
      </c>
    </row>
    <row r="635" spans="2:5">
      <c r="B635" s="48" t="s">
        <v>40</v>
      </c>
      <c r="C635" s="48" t="s">
        <v>41</v>
      </c>
      <c r="D635" s="49">
        <v>45740</v>
      </c>
      <c r="E635" s="10">
        <v>17</v>
      </c>
    </row>
    <row r="636" spans="2:5">
      <c r="B636" s="48" t="s">
        <v>35</v>
      </c>
      <c r="C636" s="48" t="s">
        <v>36</v>
      </c>
      <c r="D636" s="49">
        <v>45740</v>
      </c>
      <c r="E636" s="10">
        <v>13</v>
      </c>
    </row>
    <row r="637" spans="2:5">
      <c r="B637" s="48" t="s">
        <v>37</v>
      </c>
      <c r="C637" s="48" t="s">
        <v>38</v>
      </c>
      <c r="D637" s="49">
        <v>45740</v>
      </c>
      <c r="E637" s="10">
        <v>12</v>
      </c>
    </row>
    <row r="638" spans="2:5">
      <c r="B638" s="48" t="s">
        <v>6</v>
      </c>
      <c r="C638" s="48" t="s">
        <v>7</v>
      </c>
      <c r="D638" s="49">
        <v>45740</v>
      </c>
      <c r="E638" s="10">
        <v>4</v>
      </c>
    </row>
    <row r="639" spans="2:5">
      <c r="B639" s="48" t="s">
        <v>10</v>
      </c>
      <c r="C639" s="48" t="s">
        <v>11</v>
      </c>
      <c r="D639" s="49">
        <v>45740</v>
      </c>
      <c r="E639" s="10">
        <v>3</v>
      </c>
    </row>
    <row r="640" spans="2:5">
      <c r="B640" s="48" t="s">
        <v>4</v>
      </c>
      <c r="C640" s="48" t="s">
        <v>5</v>
      </c>
      <c r="D640" s="49">
        <v>45741</v>
      </c>
      <c r="E640" s="10">
        <v>580.6</v>
      </c>
    </row>
    <row r="641" spans="2:5">
      <c r="B641" s="48" t="s">
        <v>8</v>
      </c>
      <c r="C641" s="48" t="s">
        <v>9</v>
      </c>
      <c r="D641" s="49">
        <v>45741</v>
      </c>
      <c r="E641" s="10">
        <v>162</v>
      </c>
    </row>
    <row r="642" spans="2:5">
      <c r="B642" s="48" t="s">
        <v>6</v>
      </c>
      <c r="C642" s="48" t="s">
        <v>7</v>
      </c>
      <c r="D642" s="49">
        <v>45741</v>
      </c>
      <c r="E642" s="10">
        <v>60</v>
      </c>
    </row>
    <row r="643" spans="2:5">
      <c r="B643" s="48" t="s">
        <v>16</v>
      </c>
      <c r="C643" s="48" t="s">
        <v>17</v>
      </c>
      <c r="D643" s="49">
        <v>45741</v>
      </c>
      <c r="E643" s="10">
        <v>47</v>
      </c>
    </row>
    <row r="644" spans="2:5">
      <c r="B644" s="48" t="s">
        <v>20</v>
      </c>
      <c r="C644" s="48" t="s">
        <v>21</v>
      </c>
      <c r="D644" s="49">
        <v>45741</v>
      </c>
      <c r="E644" s="10">
        <v>38</v>
      </c>
    </row>
    <row r="645" spans="2:5">
      <c r="B645" s="48" t="s">
        <v>12</v>
      </c>
      <c r="C645" s="48" t="s">
        <v>13</v>
      </c>
      <c r="D645" s="49">
        <v>45741</v>
      </c>
      <c r="E645" s="10">
        <v>38</v>
      </c>
    </row>
    <row r="646" spans="2:5">
      <c r="B646" s="48" t="s">
        <v>22</v>
      </c>
      <c r="C646" s="48" t="s">
        <v>23</v>
      </c>
      <c r="D646" s="49">
        <v>45741</v>
      </c>
      <c r="E646" s="10">
        <v>21</v>
      </c>
    </row>
    <row r="647" spans="2:5">
      <c r="B647" s="48" t="s">
        <v>35</v>
      </c>
      <c r="C647" s="48" t="s">
        <v>36</v>
      </c>
      <c r="D647" s="49">
        <v>45741</v>
      </c>
      <c r="E647" s="10">
        <v>11</v>
      </c>
    </row>
    <row r="648" spans="2:5">
      <c r="B648" s="48" t="s">
        <v>18</v>
      </c>
      <c r="C648" s="48" t="s">
        <v>19</v>
      </c>
      <c r="D648" s="49">
        <v>45741</v>
      </c>
      <c r="E648" s="10">
        <v>9</v>
      </c>
    </row>
    <row r="649" spans="2:5">
      <c r="B649" s="48" t="s">
        <v>10</v>
      </c>
      <c r="C649" s="48" t="s">
        <v>11</v>
      </c>
      <c r="D649" s="49">
        <v>45741</v>
      </c>
      <c r="E649" s="10">
        <v>6</v>
      </c>
    </row>
    <row r="650" spans="2:5">
      <c r="B650" s="48" t="s">
        <v>14</v>
      </c>
      <c r="C650" s="48" t="s">
        <v>15</v>
      </c>
      <c r="D650" s="49">
        <v>45741</v>
      </c>
      <c r="E650" s="10">
        <v>5</v>
      </c>
    </row>
    <row r="651" spans="2:5">
      <c r="B651" s="48" t="s">
        <v>24</v>
      </c>
      <c r="C651" s="48" t="s">
        <v>25</v>
      </c>
      <c r="D651" s="49">
        <v>45741</v>
      </c>
      <c r="E651" s="10">
        <v>4</v>
      </c>
    </row>
    <row r="652" spans="2:5">
      <c r="B652" s="48" t="s">
        <v>8</v>
      </c>
      <c r="C652" s="48" t="s">
        <v>9</v>
      </c>
      <c r="D652" s="49">
        <v>45742</v>
      </c>
      <c r="E652" s="10">
        <v>81</v>
      </c>
    </row>
    <row r="653" spans="2:5">
      <c r="B653" s="48" t="s">
        <v>16</v>
      </c>
      <c r="C653" s="48" t="s">
        <v>17</v>
      </c>
      <c r="D653" s="49">
        <v>45742</v>
      </c>
      <c r="E653" s="10">
        <v>30</v>
      </c>
    </row>
    <row r="654" spans="2:5">
      <c r="B654" s="48" t="s">
        <v>37</v>
      </c>
      <c r="C654" s="48" t="s">
        <v>38</v>
      </c>
      <c r="D654" s="49">
        <v>45742</v>
      </c>
      <c r="E654" s="10">
        <v>17</v>
      </c>
    </row>
    <row r="655" spans="2:5">
      <c r="B655" s="48" t="s">
        <v>10</v>
      </c>
      <c r="C655" s="48" t="s">
        <v>11</v>
      </c>
      <c r="D655" s="49">
        <v>45742</v>
      </c>
      <c r="E655" s="10">
        <v>17</v>
      </c>
    </row>
    <row r="656" spans="2:5">
      <c r="B656" s="48" t="s">
        <v>35</v>
      </c>
      <c r="C656" s="48" t="s">
        <v>36</v>
      </c>
      <c r="D656" s="49">
        <v>45742</v>
      </c>
      <c r="E656" s="10">
        <v>12</v>
      </c>
    </row>
    <row r="657" spans="2:5">
      <c r="B657" s="48" t="s">
        <v>6</v>
      </c>
      <c r="C657" s="48" t="s">
        <v>7</v>
      </c>
      <c r="D657" s="49">
        <v>45742</v>
      </c>
      <c r="E657" s="10">
        <v>9</v>
      </c>
    </row>
    <row r="658" spans="2:5">
      <c r="B658" s="48" t="s">
        <v>12</v>
      </c>
      <c r="C658" s="48" t="s">
        <v>13</v>
      </c>
      <c r="D658" s="49">
        <v>45742</v>
      </c>
      <c r="E658" s="10">
        <v>8</v>
      </c>
    </row>
    <row r="659" spans="2:5">
      <c r="B659" s="48" t="s">
        <v>24</v>
      </c>
      <c r="C659" s="48" t="s">
        <v>25</v>
      </c>
      <c r="D659" s="49">
        <v>45742</v>
      </c>
      <c r="E659" s="10">
        <v>6</v>
      </c>
    </row>
    <row r="660" spans="2:5">
      <c r="B660" s="48" t="s">
        <v>4</v>
      </c>
      <c r="C660" s="48" t="s">
        <v>5</v>
      </c>
      <c r="D660" s="49">
        <v>45743</v>
      </c>
      <c r="E660" s="10">
        <v>293.6</v>
      </c>
    </row>
    <row r="661" spans="2:5">
      <c r="B661" s="48" t="s">
        <v>12</v>
      </c>
      <c r="C661" s="48" t="s">
        <v>13</v>
      </c>
      <c r="D661" s="49">
        <v>45743</v>
      </c>
      <c r="E661" s="10">
        <v>61</v>
      </c>
    </row>
    <row r="662" spans="2:5">
      <c r="B662" s="48" t="s">
        <v>6</v>
      </c>
      <c r="C662" s="48" t="s">
        <v>7</v>
      </c>
      <c r="D662" s="49">
        <v>45743</v>
      </c>
      <c r="E662" s="10">
        <v>51</v>
      </c>
    </row>
    <row r="663" spans="2:5">
      <c r="B663" s="48" t="s">
        <v>24</v>
      </c>
      <c r="C663" s="48" t="s">
        <v>25</v>
      </c>
      <c r="D663" s="49">
        <v>45743</v>
      </c>
      <c r="E663" s="10">
        <v>44</v>
      </c>
    </row>
    <row r="664" spans="2:5">
      <c r="B664" s="48" t="s">
        <v>8</v>
      </c>
      <c r="C664" s="48" t="s">
        <v>9</v>
      </c>
      <c r="D664" s="49">
        <v>45743</v>
      </c>
      <c r="E664" s="10">
        <v>35</v>
      </c>
    </row>
    <row r="665" spans="2:5">
      <c r="B665" s="48" t="s">
        <v>16</v>
      </c>
      <c r="C665" s="48" t="s">
        <v>17</v>
      </c>
      <c r="D665" s="49">
        <v>45743</v>
      </c>
      <c r="E665" s="10">
        <v>33</v>
      </c>
    </row>
    <row r="666" spans="2:5">
      <c r="B666" s="48" t="s">
        <v>40</v>
      </c>
      <c r="C666" s="48" t="s">
        <v>41</v>
      </c>
      <c r="D666" s="49">
        <v>45743</v>
      </c>
      <c r="E666" s="10">
        <v>15</v>
      </c>
    </row>
    <row r="667" spans="2:5">
      <c r="B667" s="48" t="s">
        <v>14</v>
      </c>
      <c r="C667" s="48" t="s">
        <v>15</v>
      </c>
      <c r="D667" s="49">
        <v>45743</v>
      </c>
      <c r="E667" s="10">
        <v>12</v>
      </c>
    </row>
    <row r="668" spans="2:5">
      <c r="B668" s="48" t="s">
        <v>35</v>
      </c>
      <c r="C668" s="48" t="s">
        <v>36</v>
      </c>
      <c r="D668" s="49">
        <v>45743</v>
      </c>
      <c r="E668" s="10">
        <v>12</v>
      </c>
    </row>
    <row r="669" spans="2:5">
      <c r="B669" s="48" t="s">
        <v>20</v>
      </c>
      <c r="C669" s="48" t="s">
        <v>21</v>
      </c>
      <c r="D669" s="49">
        <v>45743</v>
      </c>
      <c r="E669" s="10">
        <v>10</v>
      </c>
    </row>
    <row r="670" spans="2:5">
      <c r="B670" s="48" t="s">
        <v>22</v>
      </c>
      <c r="C670" s="48" t="s">
        <v>23</v>
      </c>
      <c r="D670" s="49">
        <v>45743</v>
      </c>
      <c r="E670" s="10">
        <v>8</v>
      </c>
    </row>
    <row r="671" spans="2:5">
      <c r="B671" s="48" t="s">
        <v>10</v>
      </c>
      <c r="C671" s="48" t="s">
        <v>11</v>
      </c>
      <c r="D671" s="49">
        <v>45743</v>
      </c>
      <c r="E671" s="10">
        <v>7</v>
      </c>
    </row>
    <row r="672" spans="2:5">
      <c r="B672" s="48" t="s">
        <v>18</v>
      </c>
      <c r="C672" s="48" t="s">
        <v>19</v>
      </c>
      <c r="D672" s="49">
        <v>45743</v>
      </c>
      <c r="E672" s="10">
        <v>5</v>
      </c>
    </row>
    <row r="673" spans="2:5">
      <c r="B673" s="48" t="s">
        <v>8</v>
      </c>
      <c r="C673" s="48" t="s">
        <v>9</v>
      </c>
      <c r="D673" s="49">
        <v>45744</v>
      </c>
      <c r="E673" s="10">
        <v>97</v>
      </c>
    </row>
    <row r="674" spans="2:5">
      <c r="B674" s="48" t="s">
        <v>4</v>
      </c>
      <c r="C674" s="48" t="s">
        <v>5</v>
      </c>
      <c r="D674" s="49">
        <v>45744</v>
      </c>
      <c r="E674" s="10">
        <v>96.2</v>
      </c>
    </row>
    <row r="675" spans="2:5">
      <c r="B675" s="48" t="s">
        <v>35</v>
      </c>
      <c r="C675" s="48" t="s">
        <v>36</v>
      </c>
      <c r="D675" s="49">
        <v>45744</v>
      </c>
      <c r="E675" s="10">
        <v>61</v>
      </c>
    </row>
    <row r="676" spans="2:5">
      <c r="B676" s="48" t="s">
        <v>6</v>
      </c>
      <c r="C676" s="48" t="s">
        <v>7</v>
      </c>
      <c r="D676" s="49">
        <v>45744</v>
      </c>
      <c r="E676" s="10">
        <v>59</v>
      </c>
    </row>
    <row r="677" spans="2:5">
      <c r="B677" s="48" t="s">
        <v>16</v>
      </c>
      <c r="C677" s="48" t="s">
        <v>17</v>
      </c>
      <c r="D677" s="49">
        <v>45744</v>
      </c>
      <c r="E677" s="10">
        <v>48</v>
      </c>
    </row>
    <row r="678" spans="2:5">
      <c r="B678" s="48" t="s">
        <v>10</v>
      </c>
      <c r="C678" s="48" t="s">
        <v>11</v>
      </c>
      <c r="D678" s="49">
        <v>45744</v>
      </c>
      <c r="E678" s="10">
        <v>15</v>
      </c>
    </row>
    <row r="679" spans="2:5">
      <c r="B679" s="48" t="s">
        <v>33</v>
      </c>
      <c r="C679" s="48" t="s">
        <v>34</v>
      </c>
      <c r="D679" s="49">
        <v>45744</v>
      </c>
      <c r="E679" s="10">
        <v>8</v>
      </c>
    </row>
    <row r="680" spans="2:5">
      <c r="B680" s="48" t="s">
        <v>12</v>
      </c>
      <c r="C680" s="48" t="s">
        <v>13</v>
      </c>
      <c r="D680" s="49">
        <v>45744</v>
      </c>
      <c r="E680" s="10">
        <v>4</v>
      </c>
    </row>
    <row r="681" spans="2:5">
      <c r="B681" s="48" t="s">
        <v>24</v>
      </c>
      <c r="C681" s="48" t="s">
        <v>25</v>
      </c>
      <c r="D681" s="49">
        <v>45744</v>
      </c>
      <c r="E681" s="10">
        <v>4</v>
      </c>
    </row>
    <row r="682" spans="2:5">
      <c r="B682" s="48" t="s">
        <v>22</v>
      </c>
      <c r="C682" s="48" t="s">
        <v>23</v>
      </c>
      <c r="D682" s="49">
        <v>45744</v>
      </c>
      <c r="E682" s="10">
        <v>3</v>
      </c>
    </row>
    <row r="683" spans="2:5">
      <c r="B683" s="48" t="s">
        <v>12</v>
      </c>
      <c r="C683" s="48" t="s">
        <v>13</v>
      </c>
      <c r="D683" s="49">
        <v>45747</v>
      </c>
      <c r="E683" s="10">
        <v>58</v>
      </c>
    </row>
    <row r="684" spans="2:5">
      <c r="B684" s="48" t="s">
        <v>16</v>
      </c>
      <c r="C684" s="48" t="s">
        <v>17</v>
      </c>
      <c r="D684" s="49">
        <v>45747</v>
      </c>
      <c r="E684" s="10">
        <v>44</v>
      </c>
    </row>
    <row r="685" spans="2:5">
      <c r="B685" s="48" t="s">
        <v>31</v>
      </c>
      <c r="C685" s="48" t="s">
        <v>32</v>
      </c>
      <c r="D685" s="49">
        <v>45747</v>
      </c>
      <c r="E685" s="10">
        <v>37.8</v>
      </c>
    </row>
    <row r="686" spans="2:5">
      <c r="B686" s="48" t="s">
        <v>24</v>
      </c>
      <c r="C686" s="48" t="s">
        <v>25</v>
      </c>
      <c r="D686" s="49">
        <v>45747</v>
      </c>
      <c r="E686" s="10">
        <v>26</v>
      </c>
    </row>
    <row r="687" spans="2:5">
      <c r="B687" s="48" t="s">
        <v>6</v>
      </c>
      <c r="C687" s="48" t="s">
        <v>7</v>
      </c>
      <c r="D687" s="49">
        <v>45747</v>
      </c>
      <c r="E687" s="10">
        <v>21</v>
      </c>
    </row>
    <row r="688" spans="2:5">
      <c r="B688" s="48" t="s">
        <v>35</v>
      </c>
      <c r="C688" s="48" t="s">
        <v>36</v>
      </c>
      <c r="D688" s="49">
        <v>45747</v>
      </c>
      <c r="E688" s="10">
        <v>17</v>
      </c>
    </row>
    <row r="689" spans="2:5">
      <c r="B689" s="48" t="s">
        <v>37</v>
      </c>
      <c r="C689" s="48" t="s">
        <v>38</v>
      </c>
      <c r="D689" s="49">
        <v>45747</v>
      </c>
      <c r="E689" s="10">
        <v>16</v>
      </c>
    </row>
    <row r="690" spans="2:5">
      <c r="B690" s="48" t="s">
        <v>22</v>
      </c>
      <c r="C690" s="48" t="s">
        <v>23</v>
      </c>
      <c r="D690" s="49">
        <v>45747</v>
      </c>
      <c r="E690" s="10">
        <v>11</v>
      </c>
    </row>
    <row r="691" spans="2:5">
      <c r="B691" s="48" t="s">
        <v>14</v>
      </c>
      <c r="C691" s="48" t="s">
        <v>15</v>
      </c>
      <c r="D691" s="49">
        <v>45747</v>
      </c>
      <c r="E691" s="10">
        <v>8</v>
      </c>
    </row>
    <row r="692" spans="2:5">
      <c r="B692" s="48" t="s">
        <v>8</v>
      </c>
      <c r="C692" s="48" t="s">
        <v>9</v>
      </c>
      <c r="D692" s="49">
        <v>45747</v>
      </c>
      <c r="E692" s="10">
        <v>3</v>
      </c>
    </row>
    <row r="693" spans="2:5">
      <c r="B693" s="48" t="s">
        <v>10</v>
      </c>
      <c r="C693" s="48" t="s">
        <v>11</v>
      </c>
      <c r="D693" s="49">
        <v>45747</v>
      </c>
      <c r="E693" s="10">
        <v>2</v>
      </c>
    </row>
    <row r="694" spans="2:5">
      <c r="B694" s="48" t="s">
        <v>4</v>
      </c>
      <c r="C694" s="48" t="s">
        <v>5</v>
      </c>
      <c r="D694" s="49">
        <v>45748</v>
      </c>
      <c r="E694" s="10">
        <v>435.6</v>
      </c>
    </row>
    <row r="695" spans="2:5">
      <c r="B695" s="48" t="s">
        <v>6</v>
      </c>
      <c r="C695" s="48" t="s">
        <v>7</v>
      </c>
      <c r="D695" s="49">
        <v>45748</v>
      </c>
      <c r="E695" s="10">
        <v>75</v>
      </c>
    </row>
    <row r="696" spans="2:5">
      <c r="B696" s="48" t="s">
        <v>12</v>
      </c>
      <c r="C696" s="48" t="s">
        <v>13</v>
      </c>
      <c r="D696" s="49">
        <v>45748</v>
      </c>
      <c r="E696" s="10">
        <v>61</v>
      </c>
    </row>
    <row r="697" spans="2:5">
      <c r="B697" s="48" t="s">
        <v>35</v>
      </c>
      <c r="C697" s="48" t="s">
        <v>36</v>
      </c>
      <c r="D697" s="49">
        <v>45748</v>
      </c>
      <c r="E697" s="10">
        <v>42</v>
      </c>
    </row>
    <row r="698" spans="2:5">
      <c r="B698" s="48" t="s">
        <v>8</v>
      </c>
      <c r="C698" s="48" t="s">
        <v>9</v>
      </c>
      <c r="D698" s="49">
        <v>45748</v>
      </c>
      <c r="E698" s="10">
        <v>38</v>
      </c>
    </row>
    <row r="699" spans="2:5">
      <c r="B699" s="48" t="s">
        <v>10</v>
      </c>
      <c r="C699" s="48" t="s">
        <v>11</v>
      </c>
      <c r="D699" s="49">
        <v>45748</v>
      </c>
      <c r="E699" s="10">
        <v>28</v>
      </c>
    </row>
    <row r="700" spans="2:5">
      <c r="B700" s="48" t="s">
        <v>16</v>
      </c>
      <c r="C700" s="48" t="s">
        <v>17</v>
      </c>
      <c r="D700" s="49">
        <v>45748</v>
      </c>
      <c r="E700" s="10">
        <v>18</v>
      </c>
    </row>
    <row r="701" spans="2:5">
      <c r="B701" s="48" t="s">
        <v>46</v>
      </c>
      <c r="C701" s="48" t="s">
        <v>47</v>
      </c>
      <c r="D701" s="49">
        <v>45748</v>
      </c>
      <c r="E701" s="10">
        <v>11</v>
      </c>
    </row>
    <row r="702" spans="2:5">
      <c r="B702" s="48" t="s">
        <v>24</v>
      </c>
      <c r="C702" s="48" t="s">
        <v>25</v>
      </c>
      <c r="D702" s="49">
        <v>45748</v>
      </c>
      <c r="E702" s="10">
        <v>4</v>
      </c>
    </row>
    <row r="703" spans="2:5">
      <c r="B703" s="48" t="s">
        <v>22</v>
      </c>
      <c r="C703" s="48" t="s">
        <v>23</v>
      </c>
      <c r="D703" s="49">
        <v>45748</v>
      </c>
      <c r="E703" s="10">
        <v>3</v>
      </c>
    </row>
    <row r="704" spans="2:5">
      <c r="B704" s="48" t="s">
        <v>4</v>
      </c>
      <c r="C704" s="48" t="s">
        <v>5</v>
      </c>
      <c r="D704" s="49">
        <v>45749</v>
      </c>
      <c r="E704" s="10">
        <v>169.48</v>
      </c>
    </row>
    <row r="705" spans="2:5">
      <c r="B705" s="48" t="s">
        <v>31</v>
      </c>
      <c r="C705" s="48" t="s">
        <v>32</v>
      </c>
      <c r="D705" s="49">
        <v>45749</v>
      </c>
      <c r="E705" s="10">
        <v>160.45</v>
      </c>
    </row>
    <row r="706" spans="2:5">
      <c r="B706" s="48" t="s">
        <v>24</v>
      </c>
      <c r="C706" s="48" t="s">
        <v>25</v>
      </c>
      <c r="D706" s="49">
        <v>45749</v>
      </c>
      <c r="E706" s="10">
        <v>89</v>
      </c>
    </row>
    <row r="707" spans="2:5">
      <c r="B707" s="48" t="s">
        <v>12</v>
      </c>
      <c r="C707" s="48" t="s">
        <v>13</v>
      </c>
      <c r="D707" s="49">
        <v>45749</v>
      </c>
      <c r="E707" s="10">
        <v>66</v>
      </c>
    </row>
    <row r="708" spans="2:5">
      <c r="B708" s="48" t="s">
        <v>6</v>
      </c>
      <c r="C708" s="48" t="s">
        <v>7</v>
      </c>
      <c r="D708" s="49">
        <v>45749</v>
      </c>
      <c r="E708" s="10">
        <v>55</v>
      </c>
    </row>
    <row r="709" spans="2:5">
      <c r="B709" s="48" t="s">
        <v>18</v>
      </c>
      <c r="C709" s="48" t="s">
        <v>19</v>
      </c>
      <c r="D709" s="49">
        <v>45749</v>
      </c>
      <c r="E709" s="10">
        <v>46</v>
      </c>
    </row>
    <row r="710" spans="2:5">
      <c r="B710" s="48" t="s">
        <v>8</v>
      </c>
      <c r="C710" s="48" t="s">
        <v>9</v>
      </c>
      <c r="D710" s="49">
        <v>45749</v>
      </c>
      <c r="E710" s="10">
        <v>15</v>
      </c>
    </row>
    <row r="711" spans="2:5">
      <c r="B711" s="48" t="s">
        <v>20</v>
      </c>
      <c r="C711" s="48" t="s">
        <v>21</v>
      </c>
      <c r="D711" s="49">
        <v>45749</v>
      </c>
      <c r="E711" s="10">
        <v>7</v>
      </c>
    </row>
    <row r="712" spans="2:5">
      <c r="B712" s="48" t="s">
        <v>16</v>
      </c>
      <c r="C712" s="48" t="s">
        <v>17</v>
      </c>
      <c r="D712" s="49">
        <v>45749</v>
      </c>
      <c r="E712" s="10">
        <v>7</v>
      </c>
    </row>
    <row r="713" spans="2:5">
      <c r="B713" s="48" t="s">
        <v>16</v>
      </c>
      <c r="C713" s="48" t="s">
        <v>17</v>
      </c>
      <c r="D713" s="49">
        <v>45750</v>
      </c>
      <c r="E713" s="10">
        <v>100</v>
      </c>
    </row>
    <row r="714" spans="2:5">
      <c r="B714" s="48" t="s">
        <v>14</v>
      </c>
      <c r="C714" s="48" t="s">
        <v>15</v>
      </c>
      <c r="D714" s="49">
        <v>45750</v>
      </c>
      <c r="E714" s="10">
        <v>53</v>
      </c>
    </row>
    <row r="715" spans="2:5">
      <c r="B715" s="48" t="s">
        <v>35</v>
      </c>
      <c r="C715" s="48" t="s">
        <v>36</v>
      </c>
      <c r="D715" s="49">
        <v>45750</v>
      </c>
      <c r="E715" s="10">
        <v>47</v>
      </c>
    </row>
    <row r="716" spans="2:5">
      <c r="B716" s="48" t="s">
        <v>12</v>
      </c>
      <c r="C716" s="48" t="s">
        <v>13</v>
      </c>
      <c r="D716" s="49">
        <v>45750</v>
      </c>
      <c r="E716" s="10">
        <v>37</v>
      </c>
    </row>
    <row r="717" spans="2:5">
      <c r="B717" s="48" t="s">
        <v>37</v>
      </c>
      <c r="C717" s="48" t="s">
        <v>38</v>
      </c>
      <c r="D717" s="49">
        <v>45750</v>
      </c>
      <c r="E717" s="10">
        <v>33</v>
      </c>
    </row>
    <row r="718" spans="2:5">
      <c r="B718" s="48" t="s">
        <v>6</v>
      </c>
      <c r="C718" s="48" t="s">
        <v>7</v>
      </c>
      <c r="D718" s="49">
        <v>45750</v>
      </c>
      <c r="E718" s="10">
        <v>29</v>
      </c>
    </row>
    <row r="719" spans="2:5">
      <c r="B719" s="48" t="s">
        <v>26</v>
      </c>
      <c r="C719" s="48" t="s">
        <v>27</v>
      </c>
      <c r="D719" s="49">
        <v>45750</v>
      </c>
      <c r="E719" s="10">
        <v>25</v>
      </c>
    </row>
    <row r="720" spans="2:5">
      <c r="B720" s="48" t="s">
        <v>24</v>
      </c>
      <c r="C720" s="48" t="s">
        <v>25</v>
      </c>
      <c r="D720" s="49">
        <v>45750</v>
      </c>
      <c r="E720" s="10">
        <v>21</v>
      </c>
    </row>
    <row r="721" spans="2:5">
      <c r="B721" s="48" t="s">
        <v>20</v>
      </c>
      <c r="C721" s="48" t="s">
        <v>21</v>
      </c>
      <c r="D721" s="49">
        <v>45750</v>
      </c>
      <c r="E721" s="10">
        <v>20</v>
      </c>
    </row>
    <row r="722" spans="2:5">
      <c r="B722" s="48" t="s">
        <v>8</v>
      </c>
      <c r="C722" s="48" t="s">
        <v>9</v>
      </c>
      <c r="D722" s="49">
        <v>45750</v>
      </c>
      <c r="E722" s="10">
        <v>13</v>
      </c>
    </row>
    <row r="723" spans="2:5">
      <c r="B723" s="48" t="s">
        <v>10</v>
      </c>
      <c r="C723" s="48" t="s">
        <v>11</v>
      </c>
      <c r="D723" s="49">
        <v>45750</v>
      </c>
      <c r="E723" s="10">
        <v>6</v>
      </c>
    </row>
    <row r="724" spans="2:5">
      <c r="B724" s="48" t="s">
        <v>31</v>
      </c>
      <c r="C724" s="48" t="s">
        <v>32</v>
      </c>
      <c r="D724" s="49">
        <v>45751</v>
      </c>
      <c r="E724" s="10">
        <v>1130.2</v>
      </c>
    </row>
    <row r="725" spans="2:5">
      <c r="B725" s="48" t="s">
        <v>6</v>
      </c>
      <c r="C725" s="48" t="s">
        <v>7</v>
      </c>
      <c r="D725" s="49">
        <v>45751</v>
      </c>
      <c r="E725" s="10">
        <v>103</v>
      </c>
    </row>
    <row r="726" spans="2:5">
      <c r="B726" s="48" t="s">
        <v>8</v>
      </c>
      <c r="C726" s="48" t="s">
        <v>9</v>
      </c>
      <c r="D726" s="49">
        <v>45751</v>
      </c>
      <c r="E726" s="10">
        <v>80</v>
      </c>
    </row>
    <row r="727" spans="2:5">
      <c r="B727" s="48" t="s">
        <v>35</v>
      </c>
      <c r="C727" s="48" t="s">
        <v>36</v>
      </c>
      <c r="D727" s="49">
        <v>45751</v>
      </c>
      <c r="E727" s="10">
        <v>67</v>
      </c>
    </row>
    <row r="728" spans="2:5">
      <c r="B728" s="48" t="s">
        <v>12</v>
      </c>
      <c r="C728" s="48" t="s">
        <v>13</v>
      </c>
      <c r="D728" s="49">
        <v>45751</v>
      </c>
      <c r="E728" s="10">
        <v>65</v>
      </c>
    </row>
    <row r="729" spans="2:5">
      <c r="B729" s="48" t="s">
        <v>24</v>
      </c>
      <c r="C729" s="48" t="s">
        <v>25</v>
      </c>
      <c r="D729" s="49">
        <v>45751</v>
      </c>
      <c r="E729" s="10">
        <v>55</v>
      </c>
    </row>
    <row r="730" spans="2:5">
      <c r="B730" s="48" t="s">
        <v>16</v>
      </c>
      <c r="C730" s="48" t="s">
        <v>17</v>
      </c>
      <c r="D730" s="49">
        <v>45751</v>
      </c>
      <c r="E730" s="10">
        <v>53</v>
      </c>
    </row>
    <row r="731" spans="2:5">
      <c r="B731" s="48" t="s">
        <v>22</v>
      </c>
      <c r="C731" s="48" t="s">
        <v>23</v>
      </c>
      <c r="D731" s="49">
        <v>45751</v>
      </c>
      <c r="E731" s="10">
        <v>45</v>
      </c>
    </row>
    <row r="732" spans="2:5">
      <c r="B732" s="48" t="s">
        <v>18</v>
      </c>
      <c r="C732" s="48" t="s">
        <v>19</v>
      </c>
      <c r="D732" s="49">
        <v>45751</v>
      </c>
      <c r="E732" s="10">
        <v>31</v>
      </c>
    </row>
    <row r="733" spans="2:5">
      <c r="B733" s="48" t="s">
        <v>4</v>
      </c>
      <c r="C733" s="48" t="s">
        <v>5</v>
      </c>
      <c r="D733" s="49">
        <v>45751</v>
      </c>
      <c r="E733" s="10">
        <v>20</v>
      </c>
    </row>
    <row r="734" spans="2:5">
      <c r="B734" s="48" t="s">
        <v>14</v>
      </c>
      <c r="C734" s="48" t="s">
        <v>15</v>
      </c>
      <c r="D734" s="49">
        <v>45751</v>
      </c>
      <c r="E734" s="10">
        <v>20</v>
      </c>
    </row>
    <row r="735" spans="2:5">
      <c r="B735" s="48" t="s">
        <v>10</v>
      </c>
      <c r="C735" s="48" t="s">
        <v>11</v>
      </c>
      <c r="D735" s="49">
        <v>45751</v>
      </c>
      <c r="E735" s="10">
        <v>7</v>
      </c>
    </row>
    <row r="736" spans="2:5">
      <c r="B736" s="48" t="s">
        <v>8</v>
      </c>
      <c r="C736" s="48" t="s">
        <v>9</v>
      </c>
      <c r="D736" s="49">
        <v>45754</v>
      </c>
      <c r="E736" s="10">
        <v>95</v>
      </c>
    </row>
    <row r="737" spans="2:5">
      <c r="B737" s="48" t="s">
        <v>6</v>
      </c>
      <c r="C737" s="48" t="s">
        <v>7</v>
      </c>
      <c r="D737" s="49">
        <v>45754</v>
      </c>
      <c r="E737" s="10">
        <v>62</v>
      </c>
    </row>
    <row r="738" spans="2:5">
      <c r="B738" s="48" t="s">
        <v>4</v>
      </c>
      <c r="C738" s="48" t="s">
        <v>5</v>
      </c>
      <c r="D738" s="49">
        <v>45754</v>
      </c>
      <c r="E738" s="10">
        <v>60.5</v>
      </c>
    </row>
    <row r="739" spans="2:5">
      <c r="B739" s="48" t="s">
        <v>16</v>
      </c>
      <c r="C739" s="48" t="s">
        <v>17</v>
      </c>
      <c r="D739" s="49">
        <v>45754</v>
      </c>
      <c r="E739" s="10">
        <v>51</v>
      </c>
    </row>
    <row r="740" spans="2:5">
      <c r="B740" s="48" t="s">
        <v>12</v>
      </c>
      <c r="C740" s="48" t="s">
        <v>13</v>
      </c>
      <c r="D740" s="49">
        <v>45754</v>
      </c>
      <c r="E740" s="10">
        <v>48</v>
      </c>
    </row>
    <row r="741" spans="2:5">
      <c r="B741" s="48" t="s">
        <v>35</v>
      </c>
      <c r="C741" s="48" t="s">
        <v>36</v>
      </c>
      <c r="D741" s="49">
        <v>45754</v>
      </c>
      <c r="E741" s="10">
        <v>44</v>
      </c>
    </row>
    <row r="742" spans="2:5">
      <c r="B742" s="48" t="s">
        <v>24</v>
      </c>
      <c r="C742" s="48" t="s">
        <v>25</v>
      </c>
      <c r="D742" s="49">
        <v>45754</v>
      </c>
      <c r="E742" s="10">
        <v>4</v>
      </c>
    </row>
    <row r="743" spans="2:5">
      <c r="B743" s="48" t="s">
        <v>37</v>
      </c>
      <c r="C743" s="48" t="s">
        <v>38</v>
      </c>
      <c r="D743" s="49">
        <v>45754</v>
      </c>
      <c r="E743" s="10">
        <v>2</v>
      </c>
    </row>
    <row r="744" spans="2:5">
      <c r="B744" s="48" t="s">
        <v>10</v>
      </c>
      <c r="C744" s="48" t="s">
        <v>11</v>
      </c>
      <c r="D744" s="49">
        <v>45754</v>
      </c>
      <c r="E744" s="10">
        <v>1</v>
      </c>
    </row>
    <row r="745" spans="2:5">
      <c r="B745" s="48" t="s">
        <v>20</v>
      </c>
      <c r="C745" s="48" t="s">
        <v>21</v>
      </c>
      <c r="D745" s="49">
        <v>45754</v>
      </c>
      <c r="E745" s="10">
        <v>1</v>
      </c>
    </row>
    <row r="746" spans="2:5">
      <c r="B746" s="48" t="s">
        <v>4</v>
      </c>
      <c r="C746" s="48" t="s">
        <v>5</v>
      </c>
      <c r="D746" s="49">
        <v>45755</v>
      </c>
      <c r="E746" s="10">
        <v>707</v>
      </c>
    </row>
    <row r="747" spans="2:5">
      <c r="B747" s="48" t="s">
        <v>12</v>
      </c>
      <c r="C747" s="48" t="s">
        <v>13</v>
      </c>
      <c r="D747" s="49">
        <v>45755</v>
      </c>
      <c r="E747" s="10">
        <v>52</v>
      </c>
    </row>
    <row r="748" spans="2:5">
      <c r="B748" s="48" t="s">
        <v>24</v>
      </c>
      <c r="C748" s="48" t="s">
        <v>25</v>
      </c>
      <c r="D748" s="49">
        <v>45755</v>
      </c>
      <c r="E748" s="10">
        <v>35</v>
      </c>
    </row>
    <row r="749" spans="2:5">
      <c r="B749" s="48" t="s">
        <v>6</v>
      </c>
      <c r="C749" s="48" t="s">
        <v>7</v>
      </c>
      <c r="D749" s="49">
        <v>45755</v>
      </c>
      <c r="E749" s="10">
        <v>30</v>
      </c>
    </row>
    <row r="750" spans="2:5">
      <c r="B750" s="48" t="s">
        <v>18</v>
      </c>
      <c r="C750" s="48" t="s">
        <v>19</v>
      </c>
      <c r="D750" s="49">
        <v>45755</v>
      </c>
      <c r="E750" s="10">
        <v>22</v>
      </c>
    </row>
    <row r="751" spans="2:5">
      <c r="B751" s="48" t="s">
        <v>16</v>
      </c>
      <c r="C751" s="48" t="s">
        <v>17</v>
      </c>
      <c r="D751" s="49">
        <v>45755</v>
      </c>
      <c r="E751" s="10">
        <v>17</v>
      </c>
    </row>
    <row r="752" spans="2:5">
      <c r="B752" s="48" t="s">
        <v>8</v>
      </c>
      <c r="C752" s="48" t="s">
        <v>9</v>
      </c>
      <c r="D752" s="49">
        <v>45755</v>
      </c>
      <c r="E752" s="10">
        <v>15</v>
      </c>
    </row>
    <row r="753" spans="2:5">
      <c r="B753" s="48" t="s">
        <v>4</v>
      </c>
      <c r="C753" s="48" t="s">
        <v>5</v>
      </c>
      <c r="D753" s="49">
        <v>45756</v>
      </c>
      <c r="E753" s="10">
        <v>264.9</v>
      </c>
    </row>
    <row r="754" spans="2:5">
      <c r="B754" s="48" t="s">
        <v>8</v>
      </c>
      <c r="C754" s="48" t="s">
        <v>9</v>
      </c>
      <c r="D754" s="49">
        <v>45756</v>
      </c>
      <c r="E754" s="10">
        <v>174</v>
      </c>
    </row>
    <row r="755" spans="2:5">
      <c r="B755" s="48" t="s">
        <v>16</v>
      </c>
      <c r="C755" s="48" t="s">
        <v>17</v>
      </c>
      <c r="D755" s="49">
        <v>45756</v>
      </c>
      <c r="E755" s="10">
        <v>135</v>
      </c>
    </row>
    <row r="756" spans="2:5">
      <c r="B756" s="48" t="s">
        <v>12</v>
      </c>
      <c r="C756" s="48" t="s">
        <v>13</v>
      </c>
      <c r="D756" s="49">
        <v>45756</v>
      </c>
      <c r="E756" s="10">
        <v>108</v>
      </c>
    </row>
    <row r="757" spans="2:5">
      <c r="B757" s="48" t="s">
        <v>35</v>
      </c>
      <c r="C757" s="48" t="s">
        <v>36</v>
      </c>
      <c r="D757" s="49">
        <v>45756</v>
      </c>
      <c r="E757" s="10">
        <v>83</v>
      </c>
    </row>
    <row r="758" spans="2:5">
      <c r="B758" s="48" t="s">
        <v>14</v>
      </c>
      <c r="C758" s="48" t="s">
        <v>15</v>
      </c>
      <c r="D758" s="49">
        <v>45756</v>
      </c>
      <c r="E758" s="10">
        <v>40</v>
      </c>
    </row>
    <row r="759" spans="2:5">
      <c r="B759" s="48" t="s">
        <v>37</v>
      </c>
      <c r="C759" s="48" t="s">
        <v>38</v>
      </c>
      <c r="D759" s="49">
        <v>45756</v>
      </c>
      <c r="E759" s="10">
        <v>39</v>
      </c>
    </row>
    <row r="760" spans="2:5">
      <c r="B760" s="48" t="s">
        <v>6</v>
      </c>
      <c r="C760" s="48" t="s">
        <v>7</v>
      </c>
      <c r="D760" s="49">
        <v>45756</v>
      </c>
      <c r="E760" s="10">
        <v>38</v>
      </c>
    </row>
    <row r="761" spans="2:5">
      <c r="B761" s="48" t="s">
        <v>18</v>
      </c>
      <c r="C761" s="48" t="s">
        <v>19</v>
      </c>
      <c r="D761" s="49">
        <v>45756</v>
      </c>
      <c r="E761" s="10">
        <v>29</v>
      </c>
    </row>
    <row r="762" spans="2:5">
      <c r="B762" s="48" t="s">
        <v>10</v>
      </c>
      <c r="C762" s="48" t="s">
        <v>11</v>
      </c>
      <c r="D762" s="49">
        <v>45756</v>
      </c>
      <c r="E762" s="10">
        <v>24</v>
      </c>
    </row>
    <row r="763" spans="2:5">
      <c r="B763" s="48" t="s">
        <v>20</v>
      </c>
      <c r="C763" s="48" t="s">
        <v>21</v>
      </c>
      <c r="D763" s="49">
        <v>45756</v>
      </c>
      <c r="E763" s="10">
        <v>19</v>
      </c>
    </row>
    <row r="764" spans="2:5">
      <c r="B764" s="48" t="s">
        <v>24</v>
      </c>
      <c r="C764" s="48" t="s">
        <v>25</v>
      </c>
      <c r="D764" s="49">
        <v>45756</v>
      </c>
      <c r="E764" s="10">
        <v>3</v>
      </c>
    </row>
    <row r="765" spans="2:5">
      <c r="B765" s="48" t="s">
        <v>22</v>
      </c>
      <c r="C765" s="48" t="s">
        <v>23</v>
      </c>
      <c r="D765" s="49">
        <v>45756</v>
      </c>
      <c r="E765" s="10">
        <v>1</v>
      </c>
    </row>
    <row r="766" spans="2:5">
      <c r="B766" s="48" t="s">
        <v>4</v>
      </c>
      <c r="C766" s="48" t="s">
        <v>5</v>
      </c>
      <c r="D766" s="49">
        <v>45757</v>
      </c>
      <c r="E766" s="10">
        <v>101.1</v>
      </c>
    </row>
    <row r="767" spans="2:5">
      <c r="B767" s="48" t="s">
        <v>16</v>
      </c>
      <c r="C767" s="48" t="s">
        <v>17</v>
      </c>
      <c r="D767" s="49">
        <v>45757</v>
      </c>
      <c r="E767" s="10">
        <v>43</v>
      </c>
    </row>
    <row r="768" spans="2:5">
      <c r="B768" s="48" t="s">
        <v>12</v>
      </c>
      <c r="C768" s="48" t="s">
        <v>13</v>
      </c>
      <c r="D768" s="49">
        <v>45757</v>
      </c>
      <c r="E768" s="10">
        <v>41</v>
      </c>
    </row>
    <row r="769" spans="2:5">
      <c r="B769" s="48" t="s">
        <v>6</v>
      </c>
      <c r="C769" s="48" t="s">
        <v>7</v>
      </c>
      <c r="D769" s="49">
        <v>45757</v>
      </c>
      <c r="E769" s="10">
        <v>24</v>
      </c>
    </row>
    <row r="770" spans="2:5">
      <c r="B770" s="48" t="s">
        <v>24</v>
      </c>
      <c r="C770" s="48" t="s">
        <v>25</v>
      </c>
      <c r="D770" s="49">
        <v>45757</v>
      </c>
      <c r="E770" s="10">
        <v>21</v>
      </c>
    </row>
    <row r="771" spans="2:5">
      <c r="B771" s="48" t="s">
        <v>35</v>
      </c>
      <c r="C771" s="48" t="s">
        <v>36</v>
      </c>
      <c r="D771" s="49">
        <v>45757</v>
      </c>
      <c r="E771" s="10">
        <v>18</v>
      </c>
    </row>
    <row r="772" spans="2:5">
      <c r="B772" s="48" t="s">
        <v>14</v>
      </c>
      <c r="C772" s="48" t="s">
        <v>15</v>
      </c>
      <c r="D772" s="49">
        <v>45757</v>
      </c>
      <c r="E772" s="10">
        <v>15</v>
      </c>
    </row>
    <row r="773" spans="2:5">
      <c r="B773" s="48" t="s">
        <v>8</v>
      </c>
      <c r="C773" s="48" t="s">
        <v>9</v>
      </c>
      <c r="D773" s="49">
        <v>45757</v>
      </c>
      <c r="E773" s="10">
        <v>14</v>
      </c>
    </row>
    <row r="774" spans="2:5">
      <c r="B774" s="48" t="s">
        <v>18</v>
      </c>
      <c r="C774" s="48" t="s">
        <v>19</v>
      </c>
      <c r="D774" s="49">
        <v>45757</v>
      </c>
      <c r="E774" s="10">
        <v>14</v>
      </c>
    </row>
    <row r="775" spans="2:5">
      <c r="B775" s="48" t="s">
        <v>20</v>
      </c>
      <c r="C775" s="48" t="s">
        <v>21</v>
      </c>
      <c r="D775" s="49">
        <v>45757</v>
      </c>
      <c r="E775" s="10">
        <v>11</v>
      </c>
    </row>
    <row r="776" spans="2:5">
      <c r="B776" s="48" t="s">
        <v>37</v>
      </c>
      <c r="C776" s="48" t="s">
        <v>38</v>
      </c>
      <c r="D776" s="49">
        <v>45757</v>
      </c>
      <c r="E776" s="10">
        <v>7</v>
      </c>
    </row>
    <row r="777" spans="2:5">
      <c r="B777" s="48" t="s">
        <v>40</v>
      </c>
      <c r="C777" s="48" t="s">
        <v>41</v>
      </c>
      <c r="D777" s="49">
        <v>45757</v>
      </c>
      <c r="E777" s="10">
        <v>5</v>
      </c>
    </row>
    <row r="778" spans="2:5">
      <c r="B778" s="48" t="s">
        <v>22</v>
      </c>
      <c r="C778" s="48" t="s">
        <v>23</v>
      </c>
      <c r="D778" s="49">
        <v>45757</v>
      </c>
      <c r="E778" s="10">
        <v>5</v>
      </c>
    </row>
    <row r="779" spans="2:5">
      <c r="B779" s="48" t="s">
        <v>8</v>
      </c>
      <c r="C779" s="48" t="s">
        <v>9</v>
      </c>
      <c r="D779" s="49">
        <v>45758</v>
      </c>
      <c r="E779" s="10">
        <v>225</v>
      </c>
    </row>
    <row r="780" spans="2:5">
      <c r="B780" s="48" t="s">
        <v>12</v>
      </c>
      <c r="C780" s="48" t="s">
        <v>13</v>
      </c>
      <c r="D780" s="49">
        <v>45758</v>
      </c>
      <c r="E780" s="10">
        <v>195</v>
      </c>
    </row>
    <row r="781" spans="2:5">
      <c r="B781" s="48" t="s">
        <v>4</v>
      </c>
      <c r="C781" s="48" t="s">
        <v>5</v>
      </c>
      <c r="D781" s="49">
        <v>45758</v>
      </c>
      <c r="E781" s="10">
        <v>161.6</v>
      </c>
    </row>
    <row r="782" spans="2:5">
      <c r="B782" s="48" t="s">
        <v>14</v>
      </c>
      <c r="C782" s="48" t="s">
        <v>15</v>
      </c>
      <c r="D782" s="49">
        <v>45758</v>
      </c>
      <c r="E782" s="10">
        <v>116</v>
      </c>
    </row>
    <row r="783" spans="2:5">
      <c r="B783" s="48" t="s">
        <v>16</v>
      </c>
      <c r="C783" s="48" t="s">
        <v>17</v>
      </c>
      <c r="D783" s="49">
        <v>45758</v>
      </c>
      <c r="E783" s="10">
        <v>97</v>
      </c>
    </row>
    <row r="784" spans="2:5">
      <c r="B784" s="48" t="s">
        <v>24</v>
      </c>
      <c r="C784" s="48" t="s">
        <v>25</v>
      </c>
      <c r="D784" s="49">
        <v>45758</v>
      </c>
      <c r="E784" s="10">
        <v>80</v>
      </c>
    </row>
    <row r="785" spans="2:5">
      <c r="B785" s="48" t="s">
        <v>31</v>
      </c>
      <c r="C785" s="48" t="s">
        <v>32</v>
      </c>
      <c r="D785" s="49">
        <v>45758</v>
      </c>
      <c r="E785" s="10">
        <v>62.3</v>
      </c>
    </row>
    <row r="786" spans="2:5">
      <c r="B786" s="48" t="s">
        <v>6</v>
      </c>
      <c r="C786" s="48" t="s">
        <v>7</v>
      </c>
      <c r="D786" s="49">
        <v>45758</v>
      </c>
      <c r="E786" s="10">
        <v>33</v>
      </c>
    </row>
    <row r="787" spans="2:5">
      <c r="B787" s="48" t="s">
        <v>37</v>
      </c>
      <c r="C787" s="48" t="s">
        <v>38</v>
      </c>
      <c r="D787" s="49">
        <v>45758</v>
      </c>
      <c r="E787" s="10">
        <v>33</v>
      </c>
    </row>
    <row r="788" spans="2:5">
      <c r="B788" s="48" t="s">
        <v>35</v>
      </c>
      <c r="C788" s="48" t="s">
        <v>36</v>
      </c>
      <c r="D788" s="49">
        <v>45758</v>
      </c>
      <c r="E788" s="10">
        <v>24</v>
      </c>
    </row>
    <row r="789" spans="2:5">
      <c r="B789" s="48" t="s">
        <v>22</v>
      </c>
      <c r="C789" s="48" t="s">
        <v>23</v>
      </c>
      <c r="D789" s="49">
        <v>45758</v>
      </c>
      <c r="E789" s="10">
        <v>6</v>
      </c>
    </row>
    <row r="790" spans="2:5">
      <c r="B790" s="48" t="s">
        <v>20</v>
      </c>
      <c r="C790" s="48" t="s">
        <v>21</v>
      </c>
      <c r="D790" s="49">
        <v>45758</v>
      </c>
      <c r="E790" s="10">
        <v>1</v>
      </c>
    </row>
    <row r="791" spans="2:5">
      <c r="B791" s="48" t="s">
        <v>4</v>
      </c>
      <c r="C791" s="48" t="s">
        <v>5</v>
      </c>
      <c r="D791" s="49">
        <v>45761</v>
      </c>
      <c r="E791" s="10">
        <v>596</v>
      </c>
    </row>
    <row r="792" spans="2:5">
      <c r="B792" s="48" t="s">
        <v>8</v>
      </c>
      <c r="C792" s="48" t="s">
        <v>9</v>
      </c>
      <c r="D792" s="49">
        <v>45761</v>
      </c>
      <c r="E792" s="10">
        <v>135</v>
      </c>
    </row>
    <row r="793" spans="2:5">
      <c r="B793" s="48" t="s">
        <v>12</v>
      </c>
      <c r="C793" s="48" t="s">
        <v>13</v>
      </c>
      <c r="D793" s="49">
        <v>45761</v>
      </c>
      <c r="E793" s="10">
        <v>121</v>
      </c>
    </row>
    <row r="794" spans="2:5">
      <c r="B794" s="48" t="s">
        <v>10</v>
      </c>
      <c r="C794" s="48" t="s">
        <v>11</v>
      </c>
      <c r="D794" s="49">
        <v>45761</v>
      </c>
      <c r="E794" s="10">
        <v>89</v>
      </c>
    </row>
    <row r="795" spans="2:5">
      <c r="B795" s="48" t="s">
        <v>6</v>
      </c>
      <c r="C795" s="48" t="s">
        <v>7</v>
      </c>
      <c r="D795" s="49">
        <v>45761</v>
      </c>
      <c r="E795" s="10">
        <v>59</v>
      </c>
    </row>
    <row r="796" spans="2:5">
      <c r="B796" s="48" t="s">
        <v>16</v>
      </c>
      <c r="C796" s="48" t="s">
        <v>17</v>
      </c>
      <c r="D796" s="49">
        <v>45761</v>
      </c>
      <c r="E796" s="10">
        <v>45</v>
      </c>
    </row>
    <row r="797" spans="2:5">
      <c r="B797" s="48" t="s">
        <v>14</v>
      </c>
      <c r="C797" s="48" t="s">
        <v>15</v>
      </c>
      <c r="D797" s="49">
        <v>45761</v>
      </c>
      <c r="E797" s="10">
        <v>40</v>
      </c>
    </row>
    <row r="798" spans="2:5">
      <c r="B798" s="48" t="s">
        <v>24</v>
      </c>
      <c r="C798" s="48" t="s">
        <v>25</v>
      </c>
      <c r="D798" s="49">
        <v>45761</v>
      </c>
      <c r="E798" s="10">
        <v>37</v>
      </c>
    </row>
    <row r="799" spans="2:5">
      <c r="B799" s="48" t="s">
        <v>35</v>
      </c>
      <c r="C799" s="48" t="s">
        <v>36</v>
      </c>
      <c r="D799" s="49">
        <v>45761</v>
      </c>
      <c r="E799" s="10">
        <v>20</v>
      </c>
    </row>
    <row r="800" spans="2:5">
      <c r="B800" s="48" t="s">
        <v>22</v>
      </c>
      <c r="C800" s="48" t="s">
        <v>23</v>
      </c>
      <c r="D800" s="49">
        <v>45761</v>
      </c>
      <c r="E800" s="10">
        <v>15</v>
      </c>
    </row>
    <row r="801" spans="2:5">
      <c r="B801" s="48" t="s">
        <v>18</v>
      </c>
      <c r="C801" s="48" t="s">
        <v>19</v>
      </c>
      <c r="D801" s="49">
        <v>45761</v>
      </c>
      <c r="E801" s="10">
        <v>9</v>
      </c>
    </row>
    <row r="802" spans="2:5">
      <c r="B802" s="48" t="s">
        <v>37</v>
      </c>
      <c r="C802" s="48" t="s">
        <v>38</v>
      </c>
      <c r="D802" s="49">
        <v>45761</v>
      </c>
      <c r="E802" s="10">
        <v>4</v>
      </c>
    </row>
    <row r="803" spans="2:5">
      <c r="B803" s="48" t="s">
        <v>4</v>
      </c>
      <c r="C803" s="48" t="s">
        <v>5</v>
      </c>
      <c r="D803" s="49">
        <v>45762</v>
      </c>
      <c r="E803" s="10">
        <v>321.5</v>
      </c>
    </row>
    <row r="804" spans="2:5">
      <c r="B804" s="48" t="s">
        <v>31</v>
      </c>
      <c r="C804" s="48" t="s">
        <v>32</v>
      </c>
      <c r="D804" s="49">
        <v>45762</v>
      </c>
      <c r="E804" s="10">
        <v>302.46</v>
      </c>
    </row>
    <row r="805" spans="2:5">
      <c r="B805" s="48" t="s">
        <v>16</v>
      </c>
      <c r="C805" s="48" t="s">
        <v>17</v>
      </c>
      <c r="D805" s="49">
        <v>45762</v>
      </c>
      <c r="E805" s="10">
        <v>180</v>
      </c>
    </row>
    <row r="806" spans="2:5">
      <c r="B806" s="48" t="s">
        <v>12</v>
      </c>
      <c r="C806" s="48" t="s">
        <v>13</v>
      </c>
      <c r="D806" s="49">
        <v>45762</v>
      </c>
      <c r="E806" s="10">
        <v>164</v>
      </c>
    </row>
    <row r="807" spans="2:5">
      <c r="B807" s="48" t="s">
        <v>8</v>
      </c>
      <c r="C807" s="48" t="s">
        <v>9</v>
      </c>
      <c r="D807" s="49">
        <v>45762</v>
      </c>
      <c r="E807" s="10">
        <v>71</v>
      </c>
    </row>
    <row r="808" spans="2:5">
      <c r="B808" s="48" t="s">
        <v>6</v>
      </c>
      <c r="C808" s="48" t="s">
        <v>7</v>
      </c>
      <c r="D808" s="49">
        <v>45762</v>
      </c>
      <c r="E808" s="10">
        <v>58</v>
      </c>
    </row>
    <row r="809" spans="2:5">
      <c r="B809" s="48" t="s">
        <v>24</v>
      </c>
      <c r="C809" s="48" t="s">
        <v>25</v>
      </c>
      <c r="D809" s="49">
        <v>45762</v>
      </c>
      <c r="E809" s="10">
        <v>45</v>
      </c>
    </row>
    <row r="810" spans="2:5">
      <c r="B810" s="48" t="s">
        <v>14</v>
      </c>
      <c r="C810" s="48" t="s">
        <v>15</v>
      </c>
      <c r="D810" s="49">
        <v>45762</v>
      </c>
      <c r="E810" s="10">
        <v>33</v>
      </c>
    </row>
    <row r="811" spans="2:5">
      <c r="B811" s="48" t="s">
        <v>37</v>
      </c>
      <c r="C811" s="48" t="s">
        <v>38</v>
      </c>
      <c r="D811" s="49">
        <v>45762</v>
      </c>
      <c r="E811" s="10">
        <v>15</v>
      </c>
    </row>
    <row r="812" spans="2:5">
      <c r="B812" s="48" t="s">
        <v>22</v>
      </c>
      <c r="C812" s="48" t="s">
        <v>23</v>
      </c>
      <c r="D812" s="49">
        <v>45762</v>
      </c>
      <c r="E812" s="10">
        <v>15</v>
      </c>
    </row>
    <row r="813" spans="2:5">
      <c r="B813" s="48" t="s">
        <v>10</v>
      </c>
      <c r="C813" s="48" t="s">
        <v>11</v>
      </c>
      <c r="D813" s="49">
        <v>45762</v>
      </c>
      <c r="E813" s="10">
        <v>10</v>
      </c>
    </row>
    <row r="814" spans="2:5">
      <c r="B814" s="48" t="s">
        <v>35</v>
      </c>
      <c r="C814" s="48" t="s">
        <v>36</v>
      </c>
      <c r="D814" s="49">
        <v>45762</v>
      </c>
      <c r="E814" s="10">
        <v>1</v>
      </c>
    </row>
    <row r="815" spans="2:5">
      <c r="B815" s="48" t="s">
        <v>31</v>
      </c>
      <c r="C815" s="48" t="s">
        <v>32</v>
      </c>
      <c r="D815" s="49">
        <v>45763</v>
      </c>
      <c r="E815" s="10">
        <v>932.4</v>
      </c>
    </row>
    <row r="816" spans="2:5">
      <c r="B816" s="48" t="s">
        <v>4</v>
      </c>
      <c r="C816" s="48" t="s">
        <v>5</v>
      </c>
      <c r="D816" s="49">
        <v>45763</v>
      </c>
      <c r="E816" s="10">
        <v>397.8</v>
      </c>
    </row>
    <row r="817" spans="2:5">
      <c r="B817" s="48" t="s">
        <v>8</v>
      </c>
      <c r="C817" s="48" t="s">
        <v>9</v>
      </c>
      <c r="D817" s="49">
        <v>45763</v>
      </c>
      <c r="E817" s="10">
        <v>213</v>
      </c>
    </row>
    <row r="818" spans="2:5">
      <c r="B818" s="48" t="s">
        <v>6</v>
      </c>
      <c r="C818" s="48" t="s">
        <v>7</v>
      </c>
      <c r="D818" s="49">
        <v>45763</v>
      </c>
      <c r="E818" s="10">
        <v>125</v>
      </c>
    </row>
    <row r="819" spans="2:5">
      <c r="B819" s="48" t="s">
        <v>16</v>
      </c>
      <c r="C819" s="48" t="s">
        <v>17</v>
      </c>
      <c r="D819" s="49">
        <v>45763</v>
      </c>
      <c r="E819" s="10">
        <v>97</v>
      </c>
    </row>
    <row r="820" spans="2:5">
      <c r="B820" s="48" t="s">
        <v>12</v>
      </c>
      <c r="C820" s="48" t="s">
        <v>13</v>
      </c>
      <c r="D820" s="49">
        <v>45763</v>
      </c>
      <c r="E820" s="10">
        <v>87</v>
      </c>
    </row>
    <row r="821" spans="2:5">
      <c r="B821" s="48" t="s">
        <v>24</v>
      </c>
      <c r="C821" s="48" t="s">
        <v>25</v>
      </c>
      <c r="D821" s="49">
        <v>45763</v>
      </c>
      <c r="E821" s="10">
        <v>47</v>
      </c>
    </row>
    <row r="822" spans="2:5">
      <c r="B822" s="48" t="s">
        <v>10</v>
      </c>
      <c r="C822" s="48" t="s">
        <v>11</v>
      </c>
      <c r="D822" s="49">
        <v>45763</v>
      </c>
      <c r="E822" s="10">
        <v>40</v>
      </c>
    </row>
    <row r="823" spans="2:5">
      <c r="B823" s="48" t="s">
        <v>18</v>
      </c>
      <c r="C823" s="48" t="s">
        <v>19</v>
      </c>
      <c r="D823" s="49">
        <v>45763</v>
      </c>
      <c r="E823" s="10">
        <v>35</v>
      </c>
    </row>
    <row r="824" spans="2:5">
      <c r="B824" s="48" t="s">
        <v>20</v>
      </c>
      <c r="C824" s="48" t="s">
        <v>21</v>
      </c>
      <c r="D824" s="49">
        <v>45763</v>
      </c>
      <c r="E824" s="10">
        <v>26</v>
      </c>
    </row>
    <row r="825" spans="2:5">
      <c r="B825" s="48" t="s">
        <v>14</v>
      </c>
      <c r="C825" s="48" t="s">
        <v>15</v>
      </c>
      <c r="D825" s="49">
        <v>45763</v>
      </c>
      <c r="E825" s="10">
        <v>6</v>
      </c>
    </row>
    <row r="826" spans="2:5">
      <c r="B826" s="48" t="s">
        <v>37</v>
      </c>
      <c r="C826" s="48" t="s">
        <v>38</v>
      </c>
      <c r="D826" s="49">
        <v>45763</v>
      </c>
      <c r="E826" s="10">
        <v>4</v>
      </c>
    </row>
    <row r="827" spans="2:5">
      <c r="B827" s="48" t="s">
        <v>4</v>
      </c>
      <c r="C827" s="48" t="s">
        <v>5</v>
      </c>
      <c r="D827" s="49">
        <v>45764</v>
      </c>
      <c r="E827" s="10">
        <v>142.5</v>
      </c>
    </row>
    <row r="828" spans="2:5">
      <c r="B828" s="48" t="s">
        <v>31</v>
      </c>
      <c r="C828" s="48" t="s">
        <v>32</v>
      </c>
      <c r="D828" s="49">
        <v>45764</v>
      </c>
      <c r="E828" s="10">
        <v>79.8</v>
      </c>
    </row>
    <row r="829" spans="2:5">
      <c r="B829" s="48" t="s">
        <v>14</v>
      </c>
      <c r="C829" s="48" t="s">
        <v>15</v>
      </c>
      <c r="D829" s="49">
        <v>45764</v>
      </c>
      <c r="E829" s="10">
        <v>48</v>
      </c>
    </row>
    <row r="830" spans="2:5">
      <c r="B830" s="48" t="s">
        <v>18</v>
      </c>
      <c r="C830" s="48" t="s">
        <v>19</v>
      </c>
      <c r="D830" s="49">
        <v>45764</v>
      </c>
      <c r="E830" s="10">
        <v>31</v>
      </c>
    </row>
    <row r="831" spans="2:5">
      <c r="B831" s="48" t="s">
        <v>37</v>
      </c>
      <c r="C831" s="48" t="s">
        <v>38</v>
      </c>
      <c r="D831" s="49">
        <v>45764</v>
      </c>
      <c r="E831" s="10">
        <v>31</v>
      </c>
    </row>
    <row r="832" spans="2:5">
      <c r="B832" s="48" t="s">
        <v>12</v>
      </c>
      <c r="C832" s="48" t="s">
        <v>13</v>
      </c>
      <c r="D832" s="49">
        <v>45764</v>
      </c>
      <c r="E832" s="10">
        <v>30</v>
      </c>
    </row>
    <row r="833" spans="2:5">
      <c r="B833" s="48" t="s">
        <v>35</v>
      </c>
      <c r="C833" s="48" t="s">
        <v>36</v>
      </c>
      <c r="D833" s="49">
        <v>45764</v>
      </c>
      <c r="E833" s="10">
        <v>27</v>
      </c>
    </row>
    <row r="834" spans="2:5">
      <c r="B834" s="48" t="s">
        <v>8</v>
      </c>
      <c r="C834" s="48" t="s">
        <v>9</v>
      </c>
      <c r="D834" s="49">
        <v>45764</v>
      </c>
      <c r="E834" s="10">
        <v>25</v>
      </c>
    </row>
    <row r="835" spans="2:5">
      <c r="B835" s="48" t="s">
        <v>24</v>
      </c>
      <c r="C835" s="48" t="s">
        <v>25</v>
      </c>
      <c r="D835" s="49">
        <v>45764</v>
      </c>
      <c r="E835" s="10">
        <v>25</v>
      </c>
    </row>
    <row r="836" spans="2:5">
      <c r="B836" s="48" t="s">
        <v>10</v>
      </c>
      <c r="C836" s="48" t="s">
        <v>11</v>
      </c>
      <c r="D836" s="49">
        <v>45764</v>
      </c>
      <c r="E836" s="10">
        <v>8</v>
      </c>
    </row>
    <row r="837" spans="2:5">
      <c r="B837" s="48" t="s">
        <v>22</v>
      </c>
      <c r="C837" s="48" t="s">
        <v>23</v>
      </c>
      <c r="D837" s="49">
        <v>45764</v>
      </c>
      <c r="E837" s="10">
        <v>7</v>
      </c>
    </row>
    <row r="838" spans="2:5">
      <c r="B838" s="48" t="s">
        <v>16</v>
      </c>
      <c r="C838" s="48" t="s">
        <v>17</v>
      </c>
      <c r="D838" s="49">
        <v>45764</v>
      </c>
      <c r="E838" s="10">
        <v>6</v>
      </c>
    </row>
    <row r="839" spans="2:5">
      <c r="B839" s="48" t="s">
        <v>6</v>
      </c>
      <c r="C839" s="48" t="s">
        <v>7</v>
      </c>
      <c r="D839" s="49">
        <v>45764</v>
      </c>
      <c r="E839" s="10">
        <v>4</v>
      </c>
    </row>
    <row r="840" spans="2:5">
      <c r="B840" s="48" t="s">
        <v>20</v>
      </c>
      <c r="C840" s="48" t="s">
        <v>21</v>
      </c>
      <c r="D840" s="49">
        <v>45764</v>
      </c>
      <c r="E840" s="10">
        <v>1</v>
      </c>
    </row>
    <row r="841" spans="2:5">
      <c r="B841" s="48" t="s">
        <v>4</v>
      </c>
      <c r="C841" s="48" t="s">
        <v>5</v>
      </c>
      <c r="D841" s="49">
        <v>45769</v>
      </c>
      <c r="E841" s="10">
        <v>250.7</v>
      </c>
    </row>
    <row r="842" spans="2:5">
      <c r="B842" s="48" t="s">
        <v>6</v>
      </c>
      <c r="C842" s="48" t="s">
        <v>7</v>
      </c>
      <c r="D842" s="49">
        <v>45769</v>
      </c>
      <c r="E842" s="10">
        <v>149</v>
      </c>
    </row>
    <row r="843" spans="2:5">
      <c r="B843" s="48" t="s">
        <v>8</v>
      </c>
      <c r="C843" s="48" t="s">
        <v>9</v>
      </c>
      <c r="D843" s="49">
        <v>45769</v>
      </c>
      <c r="E843" s="10">
        <v>117</v>
      </c>
    </row>
    <row r="844" spans="2:5">
      <c r="B844" s="48" t="s">
        <v>31</v>
      </c>
      <c r="C844" s="48" t="s">
        <v>32</v>
      </c>
      <c r="D844" s="49">
        <v>45769</v>
      </c>
      <c r="E844" s="10">
        <v>64</v>
      </c>
    </row>
    <row r="845" spans="2:5">
      <c r="B845" s="48" t="s">
        <v>12</v>
      </c>
      <c r="C845" s="48" t="s">
        <v>13</v>
      </c>
      <c r="D845" s="49">
        <v>45769</v>
      </c>
      <c r="E845" s="10">
        <v>38</v>
      </c>
    </row>
    <row r="846" spans="2:5">
      <c r="B846" s="48" t="s">
        <v>35</v>
      </c>
      <c r="C846" s="48" t="s">
        <v>36</v>
      </c>
      <c r="D846" s="49">
        <v>45769</v>
      </c>
      <c r="E846" s="10">
        <v>24</v>
      </c>
    </row>
    <row r="847" spans="2:5">
      <c r="B847" s="48" t="s">
        <v>16</v>
      </c>
      <c r="C847" s="48" t="s">
        <v>17</v>
      </c>
      <c r="D847" s="49">
        <v>45769</v>
      </c>
      <c r="E847" s="10">
        <v>24</v>
      </c>
    </row>
    <row r="848" spans="2:5">
      <c r="B848" s="48" t="s">
        <v>37</v>
      </c>
      <c r="C848" s="48" t="s">
        <v>38</v>
      </c>
      <c r="D848" s="49">
        <v>45769</v>
      </c>
      <c r="E848" s="10">
        <v>12</v>
      </c>
    </row>
    <row r="849" spans="2:5">
      <c r="B849" s="48" t="s">
        <v>10</v>
      </c>
      <c r="C849" s="48" t="s">
        <v>11</v>
      </c>
      <c r="D849" s="49">
        <v>45769</v>
      </c>
      <c r="E849" s="10">
        <v>11</v>
      </c>
    </row>
    <row r="850" spans="2:5">
      <c r="B850" s="48" t="s">
        <v>24</v>
      </c>
      <c r="C850" s="48" t="s">
        <v>25</v>
      </c>
      <c r="D850" s="49">
        <v>45769</v>
      </c>
      <c r="E850" s="10">
        <v>9</v>
      </c>
    </row>
    <row r="851" spans="2:5">
      <c r="B851" s="48" t="s">
        <v>22</v>
      </c>
      <c r="C851" s="48" t="s">
        <v>23</v>
      </c>
      <c r="D851" s="49">
        <v>45769</v>
      </c>
      <c r="E851" s="10">
        <v>9</v>
      </c>
    </row>
    <row r="852" spans="2:5">
      <c r="B852" s="48" t="s">
        <v>14</v>
      </c>
      <c r="C852" s="48" t="s">
        <v>15</v>
      </c>
      <c r="D852" s="49">
        <v>45769</v>
      </c>
      <c r="E852" s="10">
        <v>8</v>
      </c>
    </row>
    <row r="853" spans="2:5">
      <c r="B853" s="48" t="s">
        <v>18</v>
      </c>
      <c r="C853" s="48" t="s">
        <v>19</v>
      </c>
      <c r="D853" s="49">
        <v>45769</v>
      </c>
      <c r="E853" s="10">
        <v>6</v>
      </c>
    </row>
    <row r="854" spans="2:5">
      <c r="B854" s="48" t="s">
        <v>20</v>
      </c>
      <c r="C854" s="48" t="s">
        <v>21</v>
      </c>
      <c r="D854" s="49">
        <v>45769</v>
      </c>
      <c r="E854" s="10">
        <v>3</v>
      </c>
    </row>
    <row r="855" spans="2:5">
      <c r="B855" s="48" t="s">
        <v>31</v>
      </c>
      <c r="C855" s="48" t="s">
        <v>32</v>
      </c>
      <c r="D855" s="49">
        <v>45770</v>
      </c>
      <c r="E855" s="10">
        <v>154</v>
      </c>
    </row>
    <row r="856" spans="2:5">
      <c r="B856" s="48" t="s">
        <v>4</v>
      </c>
      <c r="C856" s="48" t="s">
        <v>5</v>
      </c>
      <c r="D856" s="49">
        <v>45770</v>
      </c>
      <c r="E856" s="10">
        <v>104</v>
      </c>
    </row>
    <row r="857" spans="2:5">
      <c r="B857" s="48" t="s">
        <v>16</v>
      </c>
      <c r="C857" s="48" t="s">
        <v>17</v>
      </c>
      <c r="D857" s="49">
        <v>45770</v>
      </c>
      <c r="E857" s="10">
        <v>90</v>
      </c>
    </row>
    <row r="858" spans="2:5">
      <c r="B858" s="48" t="s">
        <v>12</v>
      </c>
      <c r="C858" s="48" t="s">
        <v>13</v>
      </c>
      <c r="D858" s="49">
        <v>45770</v>
      </c>
      <c r="E858" s="10">
        <v>67</v>
      </c>
    </row>
    <row r="859" spans="2:5">
      <c r="B859" s="48" t="s">
        <v>8</v>
      </c>
      <c r="C859" s="48" t="s">
        <v>9</v>
      </c>
      <c r="D859" s="49">
        <v>45770</v>
      </c>
      <c r="E859" s="10">
        <v>41</v>
      </c>
    </row>
    <row r="860" spans="2:5">
      <c r="B860" s="48" t="s">
        <v>10</v>
      </c>
      <c r="C860" s="48" t="s">
        <v>11</v>
      </c>
      <c r="D860" s="49">
        <v>45770</v>
      </c>
      <c r="E860" s="10">
        <v>34</v>
      </c>
    </row>
    <row r="861" spans="2:5">
      <c r="B861" s="48" t="s">
        <v>6</v>
      </c>
      <c r="C861" s="48" t="s">
        <v>7</v>
      </c>
      <c r="D861" s="49">
        <v>45770</v>
      </c>
      <c r="E861" s="10">
        <v>32</v>
      </c>
    </row>
    <row r="862" spans="2:5">
      <c r="B862" s="48" t="s">
        <v>24</v>
      </c>
      <c r="C862" s="48" t="s">
        <v>25</v>
      </c>
      <c r="D862" s="49">
        <v>45770</v>
      </c>
      <c r="E862" s="10">
        <v>31</v>
      </c>
    </row>
    <row r="863" spans="2:5">
      <c r="B863" s="48" t="s">
        <v>33</v>
      </c>
      <c r="C863" s="48" t="s">
        <v>34</v>
      </c>
      <c r="D863" s="49">
        <v>45770</v>
      </c>
      <c r="E863" s="10">
        <v>19</v>
      </c>
    </row>
    <row r="864" spans="2:5">
      <c r="B864" s="48" t="s">
        <v>18</v>
      </c>
      <c r="C864" s="48" t="s">
        <v>19</v>
      </c>
      <c r="D864" s="49">
        <v>45770</v>
      </c>
      <c r="E864" s="10">
        <v>11</v>
      </c>
    </row>
    <row r="865" spans="2:5">
      <c r="B865" s="48" t="s">
        <v>14</v>
      </c>
      <c r="C865" s="48" t="s">
        <v>15</v>
      </c>
      <c r="D865" s="49">
        <v>45770</v>
      </c>
      <c r="E865" s="10">
        <v>1</v>
      </c>
    </row>
    <row r="866" spans="2:5">
      <c r="B866" s="48" t="s">
        <v>37</v>
      </c>
      <c r="C866" s="48" t="s">
        <v>38</v>
      </c>
      <c r="D866" s="49">
        <v>45771</v>
      </c>
      <c r="E866" s="10">
        <v>118</v>
      </c>
    </row>
    <row r="867" spans="2:5">
      <c r="B867" s="48" t="s">
        <v>16</v>
      </c>
      <c r="C867" s="48" t="s">
        <v>17</v>
      </c>
      <c r="D867" s="49">
        <v>45771</v>
      </c>
      <c r="E867" s="10">
        <v>96</v>
      </c>
    </row>
    <row r="868" spans="2:5">
      <c r="B868" s="48" t="s">
        <v>4</v>
      </c>
      <c r="C868" s="48" t="s">
        <v>5</v>
      </c>
      <c r="D868" s="49">
        <v>45771</v>
      </c>
      <c r="E868" s="10">
        <v>85.95</v>
      </c>
    </row>
    <row r="869" spans="2:5">
      <c r="B869" s="48" t="s">
        <v>10</v>
      </c>
      <c r="C869" s="48" t="s">
        <v>11</v>
      </c>
      <c r="D869" s="49">
        <v>45771</v>
      </c>
      <c r="E869" s="10">
        <v>79</v>
      </c>
    </row>
    <row r="870" spans="2:5">
      <c r="B870" s="48" t="s">
        <v>8</v>
      </c>
      <c r="C870" s="48" t="s">
        <v>9</v>
      </c>
      <c r="D870" s="49">
        <v>45771</v>
      </c>
      <c r="E870" s="10">
        <v>76</v>
      </c>
    </row>
    <row r="871" spans="2:5">
      <c r="B871" s="48" t="s">
        <v>6</v>
      </c>
      <c r="C871" s="48" t="s">
        <v>7</v>
      </c>
      <c r="D871" s="49">
        <v>45771</v>
      </c>
      <c r="E871" s="10">
        <v>75</v>
      </c>
    </row>
    <row r="872" spans="2:5">
      <c r="B872" s="48" t="s">
        <v>12</v>
      </c>
      <c r="C872" s="48" t="s">
        <v>13</v>
      </c>
      <c r="D872" s="49">
        <v>45771</v>
      </c>
      <c r="E872" s="10">
        <v>57</v>
      </c>
    </row>
    <row r="873" spans="2:5">
      <c r="B873" s="48" t="s">
        <v>22</v>
      </c>
      <c r="C873" s="48" t="s">
        <v>23</v>
      </c>
      <c r="D873" s="49">
        <v>45771</v>
      </c>
      <c r="E873" s="10">
        <v>43</v>
      </c>
    </row>
    <row r="874" spans="2:5">
      <c r="B874" s="48" t="s">
        <v>20</v>
      </c>
      <c r="C874" s="48" t="s">
        <v>21</v>
      </c>
      <c r="D874" s="49">
        <v>45771</v>
      </c>
      <c r="E874" s="10">
        <v>26</v>
      </c>
    </row>
    <row r="875" spans="2:5">
      <c r="B875" s="48" t="s">
        <v>33</v>
      </c>
      <c r="C875" s="48" t="s">
        <v>34</v>
      </c>
      <c r="D875" s="49">
        <v>45771</v>
      </c>
      <c r="E875" s="10">
        <v>12</v>
      </c>
    </row>
    <row r="876" spans="2:5">
      <c r="B876" s="48" t="s">
        <v>14</v>
      </c>
      <c r="C876" s="48" t="s">
        <v>15</v>
      </c>
      <c r="D876" s="49">
        <v>45771</v>
      </c>
      <c r="E876" s="10">
        <v>7</v>
      </c>
    </row>
    <row r="877" spans="2:5">
      <c r="B877" s="48" t="s">
        <v>35</v>
      </c>
      <c r="C877" s="48" t="s">
        <v>36</v>
      </c>
      <c r="D877" s="49">
        <v>45771</v>
      </c>
      <c r="E877" s="10">
        <v>5</v>
      </c>
    </row>
    <row r="878" spans="2:5">
      <c r="B878" s="48" t="s">
        <v>40</v>
      </c>
      <c r="C878" s="48" t="s">
        <v>41</v>
      </c>
      <c r="D878" s="49">
        <v>45771</v>
      </c>
      <c r="E878" s="10">
        <v>3</v>
      </c>
    </row>
    <row r="879" spans="2:5">
      <c r="B879" s="48" t="s">
        <v>8</v>
      </c>
      <c r="C879" s="48" t="s">
        <v>9</v>
      </c>
      <c r="D879" s="49">
        <v>45772</v>
      </c>
      <c r="E879" s="10">
        <v>87</v>
      </c>
    </row>
    <row r="880" spans="2:5">
      <c r="B880" s="48" t="s">
        <v>31</v>
      </c>
      <c r="C880" s="48" t="s">
        <v>32</v>
      </c>
      <c r="D880" s="49">
        <v>45772</v>
      </c>
      <c r="E880" s="10">
        <v>64</v>
      </c>
    </row>
    <row r="881" spans="2:5">
      <c r="B881" s="48" t="s">
        <v>20</v>
      </c>
      <c r="C881" s="48" t="s">
        <v>21</v>
      </c>
      <c r="D881" s="49">
        <v>45772</v>
      </c>
      <c r="E881" s="10">
        <v>57</v>
      </c>
    </row>
    <row r="882" spans="2:5">
      <c r="B882" s="48" t="s">
        <v>22</v>
      </c>
      <c r="C882" s="48" t="s">
        <v>23</v>
      </c>
      <c r="D882" s="49">
        <v>45772</v>
      </c>
      <c r="E882" s="10">
        <v>41</v>
      </c>
    </row>
    <row r="883" spans="2:5">
      <c r="B883" s="48" t="s">
        <v>12</v>
      </c>
      <c r="C883" s="48" t="s">
        <v>13</v>
      </c>
      <c r="D883" s="49">
        <v>45772</v>
      </c>
      <c r="E883" s="10">
        <v>35</v>
      </c>
    </row>
    <row r="884" spans="2:5">
      <c r="B884" s="48" t="s">
        <v>24</v>
      </c>
      <c r="C884" s="48" t="s">
        <v>25</v>
      </c>
      <c r="D884" s="49">
        <v>45772</v>
      </c>
      <c r="E884" s="10">
        <v>29</v>
      </c>
    </row>
    <row r="885" spans="2:5">
      <c r="B885" s="48" t="s">
        <v>6</v>
      </c>
      <c r="C885" s="48" t="s">
        <v>7</v>
      </c>
      <c r="D885" s="49">
        <v>45772</v>
      </c>
      <c r="E885" s="10">
        <v>24</v>
      </c>
    </row>
    <row r="886" spans="2:5">
      <c r="B886" s="48" t="s">
        <v>40</v>
      </c>
      <c r="C886" s="48" t="s">
        <v>41</v>
      </c>
      <c r="D886" s="49">
        <v>45772</v>
      </c>
      <c r="E886" s="10">
        <v>10</v>
      </c>
    </row>
    <row r="887" spans="2:5">
      <c r="B887" s="48" t="s">
        <v>35</v>
      </c>
      <c r="C887" s="48" t="s">
        <v>36</v>
      </c>
      <c r="D887" s="49">
        <v>45772</v>
      </c>
      <c r="E887" s="10">
        <v>4</v>
      </c>
    </row>
    <row r="888" spans="2:5">
      <c r="B888" s="48" t="s">
        <v>10</v>
      </c>
      <c r="C888" s="48" t="s">
        <v>11</v>
      </c>
      <c r="D888" s="49">
        <v>45772</v>
      </c>
      <c r="E888" s="10">
        <v>4</v>
      </c>
    </row>
    <row r="889" spans="2:5">
      <c r="B889" s="48" t="s">
        <v>37</v>
      </c>
      <c r="C889" s="48" t="s">
        <v>38</v>
      </c>
      <c r="D889" s="49">
        <v>45772</v>
      </c>
      <c r="E889" s="10">
        <v>4</v>
      </c>
    </row>
    <row r="890" spans="2:5">
      <c r="B890" s="48" t="s">
        <v>14</v>
      </c>
      <c r="C890" s="48" t="s">
        <v>15</v>
      </c>
      <c r="D890" s="49">
        <v>45772</v>
      </c>
      <c r="E890" s="10">
        <v>4</v>
      </c>
    </row>
    <row r="891" spans="2:5">
      <c r="B891" s="48" t="s">
        <v>18</v>
      </c>
      <c r="C891" s="48" t="s">
        <v>19</v>
      </c>
      <c r="D891" s="49">
        <v>45772</v>
      </c>
      <c r="E891" s="10">
        <v>2</v>
      </c>
    </row>
    <row r="892" spans="2:5">
      <c r="B892" s="48" t="s">
        <v>4</v>
      </c>
      <c r="C892" s="48" t="s">
        <v>5</v>
      </c>
      <c r="D892" s="49">
        <v>45776</v>
      </c>
      <c r="E892" s="10">
        <v>768.45</v>
      </c>
    </row>
    <row r="893" spans="2:5">
      <c r="B893" s="48" t="s">
        <v>31</v>
      </c>
      <c r="C893" s="48" t="s">
        <v>32</v>
      </c>
      <c r="D893" s="49">
        <v>45776</v>
      </c>
      <c r="E893" s="10">
        <v>630.5</v>
      </c>
    </row>
    <row r="894" spans="2:5">
      <c r="B894" s="48" t="s">
        <v>12</v>
      </c>
      <c r="C894" s="48" t="s">
        <v>13</v>
      </c>
      <c r="D894" s="49">
        <v>45776</v>
      </c>
      <c r="E894" s="10">
        <v>143</v>
      </c>
    </row>
    <row r="895" spans="2:5">
      <c r="B895" s="48" t="s">
        <v>8</v>
      </c>
      <c r="C895" s="48" t="s">
        <v>9</v>
      </c>
      <c r="D895" s="49">
        <v>45776</v>
      </c>
      <c r="E895" s="10">
        <v>130</v>
      </c>
    </row>
    <row r="896" spans="2:5">
      <c r="B896" s="48" t="s">
        <v>6</v>
      </c>
      <c r="C896" s="48" t="s">
        <v>7</v>
      </c>
      <c r="D896" s="49">
        <v>45776</v>
      </c>
      <c r="E896" s="10">
        <v>91</v>
      </c>
    </row>
    <row r="897" spans="2:5">
      <c r="B897" s="48" t="s">
        <v>16</v>
      </c>
      <c r="C897" s="48" t="s">
        <v>17</v>
      </c>
      <c r="D897" s="49">
        <v>45776</v>
      </c>
      <c r="E897" s="10">
        <v>86</v>
      </c>
    </row>
    <row r="898" spans="2:5">
      <c r="B898" s="48" t="s">
        <v>18</v>
      </c>
      <c r="C898" s="48" t="s">
        <v>19</v>
      </c>
      <c r="D898" s="49">
        <v>45776</v>
      </c>
      <c r="E898" s="10">
        <v>56</v>
      </c>
    </row>
    <row r="899" spans="2:5">
      <c r="B899" s="48" t="s">
        <v>35</v>
      </c>
      <c r="C899" s="48" t="s">
        <v>36</v>
      </c>
      <c r="D899" s="49">
        <v>45776</v>
      </c>
      <c r="E899" s="10">
        <v>54</v>
      </c>
    </row>
    <row r="900" spans="2:5">
      <c r="B900" s="48" t="s">
        <v>24</v>
      </c>
      <c r="C900" s="48" t="s">
        <v>25</v>
      </c>
      <c r="D900" s="49">
        <v>45776</v>
      </c>
      <c r="E900" s="10">
        <v>40</v>
      </c>
    </row>
    <row r="901" spans="2:5">
      <c r="B901" s="48" t="s">
        <v>20</v>
      </c>
      <c r="C901" s="48" t="s">
        <v>21</v>
      </c>
      <c r="D901" s="49">
        <v>45776</v>
      </c>
      <c r="E901" s="10">
        <v>21</v>
      </c>
    </row>
    <row r="902" spans="2:5">
      <c r="B902" s="48" t="s">
        <v>33</v>
      </c>
      <c r="C902" s="48" t="s">
        <v>34</v>
      </c>
      <c r="D902" s="49">
        <v>45776</v>
      </c>
      <c r="E902" s="10">
        <v>20</v>
      </c>
    </row>
    <row r="903" spans="2:5">
      <c r="B903" s="48" t="s">
        <v>22</v>
      </c>
      <c r="C903" s="48" t="s">
        <v>23</v>
      </c>
      <c r="D903" s="49">
        <v>45776</v>
      </c>
      <c r="E903" s="10">
        <v>13</v>
      </c>
    </row>
    <row r="904" spans="2:5">
      <c r="B904" s="48" t="s">
        <v>10</v>
      </c>
      <c r="C904" s="48" t="s">
        <v>11</v>
      </c>
      <c r="D904" s="49">
        <v>45776</v>
      </c>
      <c r="E904" s="10">
        <v>12</v>
      </c>
    </row>
    <row r="905" spans="2:5">
      <c r="B905" s="48" t="s">
        <v>37</v>
      </c>
      <c r="C905" s="48" t="s">
        <v>38</v>
      </c>
      <c r="D905" s="49">
        <v>45776</v>
      </c>
      <c r="E905" s="10">
        <v>6</v>
      </c>
    </row>
    <row r="906" spans="2:5">
      <c r="B906" s="48" t="s">
        <v>31</v>
      </c>
      <c r="C906" s="48" t="s">
        <v>32</v>
      </c>
      <c r="D906" s="49">
        <v>45777</v>
      </c>
      <c r="E906" s="10">
        <v>682.5</v>
      </c>
    </row>
    <row r="907" spans="2:5">
      <c r="B907" s="48" t="s">
        <v>4</v>
      </c>
      <c r="C907" s="48" t="s">
        <v>5</v>
      </c>
      <c r="D907" s="49">
        <v>45777</v>
      </c>
      <c r="E907" s="10">
        <v>222.3</v>
      </c>
    </row>
    <row r="908" spans="2:5">
      <c r="B908" s="48" t="s">
        <v>12</v>
      </c>
      <c r="C908" s="48" t="s">
        <v>13</v>
      </c>
      <c r="D908" s="49">
        <v>45777</v>
      </c>
      <c r="E908" s="10">
        <v>205</v>
      </c>
    </row>
    <row r="909" spans="2:5">
      <c r="B909" s="48" t="s">
        <v>8</v>
      </c>
      <c r="C909" s="48" t="s">
        <v>9</v>
      </c>
      <c r="D909" s="49">
        <v>45777</v>
      </c>
      <c r="E909" s="10">
        <v>118</v>
      </c>
    </row>
    <row r="910" spans="2:5">
      <c r="B910" s="48" t="s">
        <v>16</v>
      </c>
      <c r="C910" s="48" t="s">
        <v>17</v>
      </c>
      <c r="D910" s="49">
        <v>45777</v>
      </c>
      <c r="E910" s="10">
        <v>54</v>
      </c>
    </row>
    <row r="911" spans="2:5">
      <c r="B911" s="48" t="s">
        <v>6</v>
      </c>
      <c r="C911" s="48" t="s">
        <v>7</v>
      </c>
      <c r="D911" s="49">
        <v>45777</v>
      </c>
      <c r="E911" s="10">
        <v>37</v>
      </c>
    </row>
    <row r="912" spans="2:5">
      <c r="B912" s="48" t="s">
        <v>24</v>
      </c>
      <c r="C912" s="48" t="s">
        <v>25</v>
      </c>
      <c r="D912" s="49">
        <v>45777</v>
      </c>
      <c r="E912" s="10">
        <v>35</v>
      </c>
    </row>
    <row r="913" spans="2:5">
      <c r="B913" s="48" t="s">
        <v>35</v>
      </c>
      <c r="C913" s="48" t="s">
        <v>36</v>
      </c>
      <c r="D913" s="49">
        <v>45777</v>
      </c>
      <c r="E913" s="10">
        <v>23</v>
      </c>
    </row>
    <row r="914" spans="2:5">
      <c r="B914" s="48" t="s">
        <v>20</v>
      </c>
      <c r="C914" s="48" t="s">
        <v>21</v>
      </c>
      <c r="D914" s="49">
        <v>45777</v>
      </c>
      <c r="E914" s="10">
        <v>19</v>
      </c>
    </row>
    <row r="915" spans="2:5">
      <c r="B915" s="48" t="s">
        <v>4</v>
      </c>
      <c r="C915" s="48" t="s">
        <v>5</v>
      </c>
      <c r="D915" s="49">
        <v>45779</v>
      </c>
      <c r="E915" s="10">
        <v>507</v>
      </c>
    </row>
    <row r="916" spans="2:5">
      <c r="B916" s="48" t="s">
        <v>8</v>
      </c>
      <c r="C916" s="48" t="s">
        <v>9</v>
      </c>
      <c r="D916" s="49">
        <v>45779</v>
      </c>
      <c r="E916" s="10">
        <v>135</v>
      </c>
    </row>
    <row r="917" spans="2:5">
      <c r="B917" s="48" t="s">
        <v>12</v>
      </c>
      <c r="C917" s="48" t="s">
        <v>13</v>
      </c>
      <c r="D917" s="49">
        <v>45779</v>
      </c>
      <c r="E917" s="10">
        <v>125</v>
      </c>
    </row>
    <row r="918" spans="2:5">
      <c r="B918" s="48" t="s">
        <v>6</v>
      </c>
      <c r="C918" s="48" t="s">
        <v>7</v>
      </c>
      <c r="D918" s="49">
        <v>45779</v>
      </c>
      <c r="E918" s="10">
        <v>125</v>
      </c>
    </row>
    <row r="919" spans="2:5">
      <c r="B919" s="48" t="s">
        <v>16</v>
      </c>
      <c r="C919" s="48" t="s">
        <v>17</v>
      </c>
      <c r="D919" s="49">
        <v>45779</v>
      </c>
      <c r="E919" s="10">
        <v>35</v>
      </c>
    </row>
    <row r="920" spans="2:5">
      <c r="B920" s="48" t="s">
        <v>14</v>
      </c>
      <c r="C920" s="48" t="s">
        <v>15</v>
      </c>
      <c r="D920" s="49">
        <v>45779</v>
      </c>
      <c r="E920" s="10">
        <v>33</v>
      </c>
    </row>
    <row r="921" spans="2:5">
      <c r="B921" s="48" t="s">
        <v>22</v>
      </c>
      <c r="C921" s="48" t="s">
        <v>23</v>
      </c>
      <c r="D921" s="49">
        <v>45779</v>
      </c>
      <c r="E921" s="10">
        <v>22</v>
      </c>
    </row>
    <row r="922" spans="2:5">
      <c r="B922" s="48" t="s">
        <v>10</v>
      </c>
      <c r="C922" s="48" t="s">
        <v>11</v>
      </c>
      <c r="D922" s="49">
        <v>45779</v>
      </c>
      <c r="E922" s="10">
        <v>18</v>
      </c>
    </row>
    <row r="923" spans="2:5">
      <c r="B923" s="48" t="s">
        <v>18</v>
      </c>
      <c r="C923" s="48" t="s">
        <v>19</v>
      </c>
      <c r="D923" s="49">
        <v>45779</v>
      </c>
      <c r="E923" s="10">
        <v>15</v>
      </c>
    </row>
    <row r="924" spans="2:5">
      <c r="B924" s="48" t="s">
        <v>20</v>
      </c>
      <c r="C924" s="48" t="s">
        <v>21</v>
      </c>
      <c r="D924" s="49">
        <v>45779</v>
      </c>
      <c r="E924" s="10">
        <v>14</v>
      </c>
    </row>
    <row r="925" spans="2:5">
      <c r="B925" s="48" t="s">
        <v>24</v>
      </c>
      <c r="C925" s="48" t="s">
        <v>25</v>
      </c>
      <c r="D925" s="49">
        <v>45779</v>
      </c>
      <c r="E925" s="10">
        <v>12</v>
      </c>
    </row>
    <row r="926" spans="2:5">
      <c r="B926" s="48" t="s">
        <v>35</v>
      </c>
      <c r="C926" s="48" t="s">
        <v>36</v>
      </c>
      <c r="D926" s="49">
        <v>45779</v>
      </c>
      <c r="E926" s="10">
        <v>1</v>
      </c>
    </row>
    <row r="927" spans="2:5">
      <c r="B927" s="48" t="s">
        <v>8</v>
      </c>
      <c r="C927" s="48" t="s">
        <v>9</v>
      </c>
      <c r="D927" s="49">
        <v>45782</v>
      </c>
      <c r="E927" s="10">
        <v>72</v>
      </c>
    </row>
    <row r="928" spans="2:5">
      <c r="B928" s="48" t="s">
        <v>46</v>
      </c>
      <c r="C928" s="48" t="s">
        <v>47</v>
      </c>
      <c r="D928" s="49">
        <v>45782</v>
      </c>
      <c r="E928" s="10">
        <v>65</v>
      </c>
    </row>
    <row r="929" spans="2:5">
      <c r="B929" s="48" t="s">
        <v>6</v>
      </c>
      <c r="C929" s="48" t="s">
        <v>7</v>
      </c>
      <c r="D929" s="49">
        <v>45782</v>
      </c>
      <c r="E929" s="10">
        <v>64</v>
      </c>
    </row>
    <row r="930" spans="2:5">
      <c r="B930" s="48" t="s">
        <v>16</v>
      </c>
      <c r="C930" s="48" t="s">
        <v>17</v>
      </c>
      <c r="D930" s="49">
        <v>45782</v>
      </c>
      <c r="E930" s="10">
        <v>45</v>
      </c>
    </row>
    <row r="931" spans="2:5">
      <c r="B931" s="48" t="s">
        <v>12</v>
      </c>
      <c r="C931" s="48" t="s">
        <v>13</v>
      </c>
      <c r="D931" s="49">
        <v>45782</v>
      </c>
      <c r="E931" s="10">
        <v>37</v>
      </c>
    </row>
    <row r="932" spans="2:5">
      <c r="B932" s="48" t="s">
        <v>35</v>
      </c>
      <c r="C932" s="48" t="s">
        <v>36</v>
      </c>
      <c r="D932" s="49">
        <v>45782</v>
      </c>
      <c r="E932" s="10">
        <v>22</v>
      </c>
    </row>
    <row r="933" spans="2:5">
      <c r="B933" s="48" t="s">
        <v>10</v>
      </c>
      <c r="C933" s="48" t="s">
        <v>11</v>
      </c>
      <c r="D933" s="49">
        <v>45782</v>
      </c>
      <c r="E933" s="10">
        <v>22</v>
      </c>
    </row>
    <row r="934" spans="2:5">
      <c r="B934" s="48" t="s">
        <v>4</v>
      </c>
      <c r="C934" s="48" t="s">
        <v>5</v>
      </c>
      <c r="D934" s="49">
        <v>45782</v>
      </c>
      <c r="E934" s="10">
        <v>7</v>
      </c>
    </row>
    <row r="935" spans="2:5">
      <c r="B935" s="48" t="s">
        <v>8</v>
      </c>
      <c r="C935" s="48" t="s">
        <v>9</v>
      </c>
      <c r="D935" s="49">
        <v>45783</v>
      </c>
      <c r="E935" s="10">
        <v>168</v>
      </c>
    </row>
    <row r="936" spans="2:5">
      <c r="B936" s="48" t="s">
        <v>4</v>
      </c>
      <c r="C936" s="48" t="s">
        <v>5</v>
      </c>
      <c r="D936" s="49">
        <v>45783</v>
      </c>
      <c r="E936" s="10">
        <v>54.9</v>
      </c>
    </row>
    <row r="937" spans="2:5">
      <c r="B937" s="48" t="s">
        <v>12</v>
      </c>
      <c r="C937" s="48" t="s">
        <v>13</v>
      </c>
      <c r="D937" s="49">
        <v>45783</v>
      </c>
      <c r="E937" s="10">
        <v>46</v>
      </c>
    </row>
    <row r="938" spans="2:5">
      <c r="B938" s="48" t="s">
        <v>16</v>
      </c>
      <c r="C938" s="48" t="s">
        <v>17</v>
      </c>
      <c r="D938" s="49">
        <v>45783</v>
      </c>
      <c r="E938" s="10">
        <v>37</v>
      </c>
    </row>
    <row r="939" spans="2:5">
      <c r="B939" s="48" t="s">
        <v>14</v>
      </c>
      <c r="C939" s="48" t="s">
        <v>15</v>
      </c>
      <c r="D939" s="49">
        <v>45783</v>
      </c>
      <c r="E939" s="10">
        <v>31</v>
      </c>
    </row>
    <row r="940" spans="2:5">
      <c r="B940" s="48" t="s">
        <v>24</v>
      </c>
      <c r="C940" s="48" t="s">
        <v>25</v>
      </c>
      <c r="D940" s="49">
        <v>45783</v>
      </c>
      <c r="E940" s="10">
        <v>30</v>
      </c>
    </row>
    <row r="941" spans="2:5">
      <c r="B941" s="48" t="s">
        <v>6</v>
      </c>
      <c r="C941" s="48" t="s">
        <v>7</v>
      </c>
      <c r="D941" s="49">
        <v>45783</v>
      </c>
      <c r="E941" s="10">
        <v>23</v>
      </c>
    </row>
    <row r="942" spans="2:5">
      <c r="B942" s="48" t="s">
        <v>18</v>
      </c>
      <c r="C942" s="48" t="s">
        <v>19</v>
      </c>
      <c r="D942" s="49">
        <v>45783</v>
      </c>
      <c r="E942" s="10">
        <v>4</v>
      </c>
    </row>
    <row r="943" spans="2:5">
      <c r="B943" s="48" t="s">
        <v>4</v>
      </c>
      <c r="C943" s="48" t="s">
        <v>5</v>
      </c>
      <c r="D943" s="49">
        <v>45784</v>
      </c>
      <c r="E943" s="10">
        <v>444.5</v>
      </c>
    </row>
    <row r="944" spans="2:5">
      <c r="B944" s="48" t="s">
        <v>31</v>
      </c>
      <c r="C944" s="48" t="s">
        <v>32</v>
      </c>
      <c r="D944" s="49">
        <v>45784</v>
      </c>
      <c r="E944" s="10">
        <v>157.5</v>
      </c>
    </row>
    <row r="945" spans="2:5">
      <c r="B945" s="48" t="s">
        <v>12</v>
      </c>
      <c r="C945" s="48" t="s">
        <v>13</v>
      </c>
      <c r="D945" s="49">
        <v>45784</v>
      </c>
      <c r="E945" s="10">
        <v>95</v>
      </c>
    </row>
    <row r="946" spans="2:5">
      <c r="B946" s="48" t="s">
        <v>16</v>
      </c>
      <c r="C946" s="48" t="s">
        <v>17</v>
      </c>
      <c r="D946" s="49">
        <v>45784</v>
      </c>
      <c r="E946" s="10">
        <v>68</v>
      </c>
    </row>
    <row r="947" spans="2:5">
      <c r="B947" s="48" t="s">
        <v>33</v>
      </c>
      <c r="C947" s="48" t="s">
        <v>34</v>
      </c>
      <c r="D947" s="49">
        <v>45784</v>
      </c>
      <c r="E947" s="10">
        <v>65</v>
      </c>
    </row>
    <row r="948" spans="2:5">
      <c r="B948" s="48" t="s">
        <v>20</v>
      </c>
      <c r="C948" s="48" t="s">
        <v>21</v>
      </c>
      <c r="D948" s="49">
        <v>45784</v>
      </c>
      <c r="E948" s="10">
        <v>54</v>
      </c>
    </row>
    <row r="949" spans="2:5">
      <c r="B949" s="48" t="s">
        <v>22</v>
      </c>
      <c r="C949" s="48" t="s">
        <v>23</v>
      </c>
      <c r="D949" s="49">
        <v>45784</v>
      </c>
      <c r="E949" s="10">
        <v>49</v>
      </c>
    </row>
    <row r="950" spans="2:5">
      <c r="B950" s="48" t="s">
        <v>8</v>
      </c>
      <c r="C950" s="48" t="s">
        <v>9</v>
      </c>
      <c r="D950" s="49">
        <v>45784</v>
      </c>
      <c r="E950" s="10">
        <v>46</v>
      </c>
    </row>
    <row r="951" spans="2:5">
      <c r="B951" s="48" t="s">
        <v>6</v>
      </c>
      <c r="C951" s="48" t="s">
        <v>7</v>
      </c>
      <c r="D951" s="49">
        <v>45784</v>
      </c>
      <c r="E951" s="10">
        <v>30</v>
      </c>
    </row>
    <row r="952" spans="2:5">
      <c r="B952" s="48" t="s">
        <v>10</v>
      </c>
      <c r="C952" s="48" t="s">
        <v>11</v>
      </c>
      <c r="D952" s="49">
        <v>45784</v>
      </c>
      <c r="E952" s="10">
        <v>26</v>
      </c>
    </row>
    <row r="953" spans="2:5">
      <c r="B953" s="48" t="s">
        <v>35</v>
      </c>
      <c r="C953" s="48" t="s">
        <v>36</v>
      </c>
      <c r="D953" s="49">
        <v>45784</v>
      </c>
      <c r="E953" s="10">
        <v>25</v>
      </c>
    </row>
    <row r="954" spans="2:5">
      <c r="B954" s="48" t="s">
        <v>14</v>
      </c>
      <c r="C954" s="48" t="s">
        <v>15</v>
      </c>
      <c r="D954" s="49">
        <v>45784</v>
      </c>
      <c r="E954" s="10">
        <v>20</v>
      </c>
    </row>
    <row r="955" spans="2:5">
      <c r="B955" s="48" t="s">
        <v>18</v>
      </c>
      <c r="C955" s="48" t="s">
        <v>19</v>
      </c>
      <c r="D955" s="49">
        <v>45784</v>
      </c>
      <c r="E955" s="10">
        <v>14</v>
      </c>
    </row>
    <row r="956" spans="2:5">
      <c r="B956" s="48" t="s">
        <v>37</v>
      </c>
      <c r="C956" s="48" t="s">
        <v>38</v>
      </c>
      <c r="D956" s="49">
        <v>45784</v>
      </c>
      <c r="E956" s="10">
        <v>8</v>
      </c>
    </row>
    <row r="957" spans="2:5">
      <c r="B957" s="48" t="s">
        <v>8</v>
      </c>
      <c r="C957" s="48" t="s">
        <v>9</v>
      </c>
      <c r="D957" s="49">
        <v>45785</v>
      </c>
      <c r="E957" s="10">
        <v>503</v>
      </c>
    </row>
    <row r="958" spans="2:5">
      <c r="B958" s="48" t="s">
        <v>4</v>
      </c>
      <c r="C958" s="48" t="s">
        <v>5</v>
      </c>
      <c r="D958" s="49">
        <v>45785</v>
      </c>
      <c r="E958" s="10">
        <v>348.6</v>
      </c>
    </row>
    <row r="959" spans="2:5">
      <c r="B959" s="48" t="s">
        <v>6</v>
      </c>
      <c r="C959" s="48" t="s">
        <v>7</v>
      </c>
      <c r="D959" s="49">
        <v>45785</v>
      </c>
      <c r="E959" s="10">
        <v>60</v>
      </c>
    </row>
    <row r="960" spans="2:5">
      <c r="B960" s="48" t="s">
        <v>12</v>
      </c>
      <c r="C960" s="48" t="s">
        <v>13</v>
      </c>
      <c r="D960" s="49">
        <v>45785</v>
      </c>
      <c r="E960" s="10">
        <v>34</v>
      </c>
    </row>
    <row r="961" spans="2:5">
      <c r="B961" s="48" t="s">
        <v>35</v>
      </c>
      <c r="C961" s="48" t="s">
        <v>36</v>
      </c>
      <c r="D961" s="49">
        <v>45785</v>
      </c>
      <c r="E961" s="10">
        <v>19</v>
      </c>
    </row>
    <row r="962" spans="2:5">
      <c r="B962" s="48" t="s">
        <v>16</v>
      </c>
      <c r="C962" s="48" t="s">
        <v>17</v>
      </c>
      <c r="D962" s="49">
        <v>45785</v>
      </c>
      <c r="E962" s="10">
        <v>14</v>
      </c>
    </row>
    <row r="963" spans="2:5">
      <c r="B963" s="48" t="s">
        <v>37</v>
      </c>
      <c r="C963" s="48" t="s">
        <v>38</v>
      </c>
      <c r="D963" s="49">
        <v>45785</v>
      </c>
      <c r="E963" s="10">
        <v>7</v>
      </c>
    </row>
    <row r="964" spans="2:5">
      <c r="B964" s="48" t="s">
        <v>18</v>
      </c>
      <c r="C964" s="48" t="s">
        <v>19</v>
      </c>
      <c r="D964" s="49">
        <v>45785</v>
      </c>
      <c r="E964" s="10">
        <v>4</v>
      </c>
    </row>
    <row r="965" spans="2:5">
      <c r="B965" s="48" t="s">
        <v>31</v>
      </c>
      <c r="C965" s="48" t="s">
        <v>32</v>
      </c>
      <c r="D965" s="49">
        <v>45786</v>
      </c>
      <c r="E965" s="10">
        <v>717.65</v>
      </c>
    </row>
    <row r="966" spans="2:5">
      <c r="B966" s="48" t="s">
        <v>4</v>
      </c>
      <c r="C966" s="48" t="s">
        <v>5</v>
      </c>
      <c r="D966" s="49">
        <v>45786</v>
      </c>
      <c r="E966" s="10">
        <v>348.2</v>
      </c>
    </row>
    <row r="967" spans="2:5">
      <c r="B967" s="48" t="s">
        <v>8</v>
      </c>
      <c r="C967" s="48" t="s">
        <v>9</v>
      </c>
      <c r="D967" s="49">
        <v>45786</v>
      </c>
      <c r="E967" s="10">
        <v>129</v>
      </c>
    </row>
    <row r="968" spans="2:5">
      <c r="B968" s="48" t="s">
        <v>14</v>
      </c>
      <c r="C968" s="48" t="s">
        <v>15</v>
      </c>
      <c r="D968" s="49">
        <v>45786</v>
      </c>
      <c r="E968" s="10">
        <v>65</v>
      </c>
    </row>
    <row r="969" spans="2:5">
      <c r="B969" s="48" t="s">
        <v>24</v>
      </c>
      <c r="C969" s="48" t="s">
        <v>25</v>
      </c>
      <c r="D969" s="49">
        <v>45786</v>
      </c>
      <c r="E969" s="10">
        <v>50</v>
      </c>
    </row>
    <row r="970" spans="2:5">
      <c r="B970" s="48" t="s">
        <v>10</v>
      </c>
      <c r="C970" s="48" t="s">
        <v>11</v>
      </c>
      <c r="D970" s="49">
        <v>45786</v>
      </c>
      <c r="E970" s="10">
        <v>44</v>
      </c>
    </row>
    <row r="971" spans="2:5">
      <c r="B971" s="48" t="s">
        <v>6</v>
      </c>
      <c r="C971" s="48" t="s">
        <v>7</v>
      </c>
      <c r="D971" s="49">
        <v>45786</v>
      </c>
      <c r="E971" s="10">
        <v>40</v>
      </c>
    </row>
    <row r="972" spans="2:5">
      <c r="B972" s="48" t="s">
        <v>16</v>
      </c>
      <c r="C972" s="48" t="s">
        <v>17</v>
      </c>
      <c r="D972" s="49">
        <v>45786</v>
      </c>
      <c r="E972" s="10">
        <v>32</v>
      </c>
    </row>
    <row r="973" spans="2:5">
      <c r="B973" s="48" t="s">
        <v>20</v>
      </c>
      <c r="C973" s="48" t="s">
        <v>21</v>
      </c>
      <c r="D973" s="49">
        <v>45786</v>
      </c>
      <c r="E973" s="10">
        <v>28</v>
      </c>
    </row>
    <row r="974" spans="2:5">
      <c r="B974" s="48" t="s">
        <v>22</v>
      </c>
      <c r="C974" s="48" t="s">
        <v>23</v>
      </c>
      <c r="D974" s="49">
        <v>45786</v>
      </c>
      <c r="E974" s="10">
        <v>23</v>
      </c>
    </row>
    <row r="975" spans="2:5">
      <c r="B975" s="48" t="s">
        <v>12</v>
      </c>
      <c r="C975" s="48" t="s">
        <v>13</v>
      </c>
      <c r="D975" s="49">
        <v>45786</v>
      </c>
      <c r="E975" s="10">
        <v>19</v>
      </c>
    </row>
    <row r="976" spans="2:5">
      <c r="B976" s="48" t="s">
        <v>18</v>
      </c>
      <c r="C976" s="48" t="s">
        <v>19</v>
      </c>
      <c r="D976" s="49">
        <v>45786</v>
      </c>
      <c r="E976" s="10">
        <v>5</v>
      </c>
    </row>
    <row r="977" spans="2:5">
      <c r="B977" s="48" t="s">
        <v>4</v>
      </c>
      <c r="C977" s="48" t="s">
        <v>5</v>
      </c>
      <c r="D977" s="49">
        <v>45789</v>
      </c>
      <c r="E977" s="10">
        <v>160.4</v>
      </c>
    </row>
    <row r="978" spans="2:5">
      <c r="B978" s="48" t="s">
        <v>8</v>
      </c>
      <c r="C978" s="48" t="s">
        <v>9</v>
      </c>
      <c r="D978" s="49">
        <v>45789</v>
      </c>
      <c r="E978" s="10">
        <v>95</v>
      </c>
    </row>
    <row r="979" spans="2:5">
      <c r="B979" s="48" t="s">
        <v>6</v>
      </c>
      <c r="C979" s="48" t="s">
        <v>7</v>
      </c>
      <c r="D979" s="49">
        <v>45789</v>
      </c>
      <c r="E979" s="10">
        <v>43</v>
      </c>
    </row>
    <row r="980" spans="2:5">
      <c r="B980" s="48" t="s">
        <v>12</v>
      </c>
      <c r="C980" s="48" t="s">
        <v>13</v>
      </c>
      <c r="D980" s="49">
        <v>45789</v>
      </c>
      <c r="E980" s="10">
        <v>31</v>
      </c>
    </row>
    <row r="981" spans="2:5">
      <c r="B981" s="48" t="s">
        <v>10</v>
      </c>
      <c r="C981" s="48" t="s">
        <v>11</v>
      </c>
      <c r="D981" s="49">
        <v>45789</v>
      </c>
      <c r="E981" s="10">
        <v>29</v>
      </c>
    </row>
    <row r="982" spans="2:5">
      <c r="B982" s="48" t="s">
        <v>37</v>
      </c>
      <c r="C982" s="48" t="s">
        <v>38</v>
      </c>
      <c r="D982" s="49">
        <v>45789</v>
      </c>
      <c r="E982" s="10">
        <v>24</v>
      </c>
    </row>
    <row r="983" spans="2:5">
      <c r="B983" s="48" t="s">
        <v>35</v>
      </c>
      <c r="C983" s="48" t="s">
        <v>36</v>
      </c>
      <c r="D983" s="49">
        <v>45789</v>
      </c>
      <c r="E983" s="10">
        <v>18</v>
      </c>
    </row>
    <row r="984" spans="2:5">
      <c r="B984" s="48" t="s">
        <v>16</v>
      </c>
      <c r="C984" s="48" t="s">
        <v>17</v>
      </c>
      <c r="D984" s="49">
        <v>45789</v>
      </c>
      <c r="E984" s="10">
        <v>15</v>
      </c>
    </row>
    <row r="985" spans="2:5">
      <c r="B985" s="48" t="s">
        <v>24</v>
      </c>
      <c r="C985" s="48" t="s">
        <v>25</v>
      </c>
      <c r="D985" s="49">
        <v>45789</v>
      </c>
      <c r="E985" s="10">
        <v>4</v>
      </c>
    </row>
    <row r="986" spans="2:5">
      <c r="B986" s="48" t="s">
        <v>4</v>
      </c>
      <c r="C986" s="48" t="s">
        <v>5</v>
      </c>
      <c r="D986" s="49">
        <v>45790</v>
      </c>
      <c r="E986" s="10">
        <v>1285</v>
      </c>
    </row>
    <row r="987" spans="2:5">
      <c r="B987" s="48" t="s">
        <v>35</v>
      </c>
      <c r="C987" s="48" t="s">
        <v>36</v>
      </c>
      <c r="D987" s="49">
        <v>45790</v>
      </c>
      <c r="E987" s="10">
        <v>94</v>
      </c>
    </row>
    <row r="988" spans="2:5">
      <c r="B988" s="48" t="s">
        <v>12</v>
      </c>
      <c r="C988" s="48" t="s">
        <v>13</v>
      </c>
      <c r="D988" s="49">
        <v>45790</v>
      </c>
      <c r="E988" s="10">
        <v>73</v>
      </c>
    </row>
    <row r="989" spans="2:5">
      <c r="B989" s="48" t="s">
        <v>6</v>
      </c>
      <c r="C989" s="48" t="s">
        <v>7</v>
      </c>
      <c r="D989" s="49">
        <v>45790</v>
      </c>
      <c r="E989" s="10">
        <v>68</v>
      </c>
    </row>
    <row r="990" spans="2:5">
      <c r="B990" s="48" t="s">
        <v>8</v>
      </c>
      <c r="C990" s="48" t="s">
        <v>9</v>
      </c>
      <c r="D990" s="49">
        <v>45790</v>
      </c>
      <c r="E990" s="10">
        <v>55</v>
      </c>
    </row>
    <row r="991" spans="2:5">
      <c r="B991" s="48" t="s">
        <v>18</v>
      </c>
      <c r="C991" s="48" t="s">
        <v>19</v>
      </c>
      <c r="D991" s="49">
        <v>45790</v>
      </c>
      <c r="E991" s="10">
        <v>46</v>
      </c>
    </row>
    <row r="992" spans="2:5">
      <c r="B992" s="48" t="s">
        <v>24</v>
      </c>
      <c r="C992" s="48" t="s">
        <v>25</v>
      </c>
      <c r="D992" s="49">
        <v>45790</v>
      </c>
      <c r="E992" s="10">
        <v>32</v>
      </c>
    </row>
    <row r="993" spans="2:5">
      <c r="B993" s="48" t="s">
        <v>14</v>
      </c>
      <c r="C993" s="48" t="s">
        <v>15</v>
      </c>
      <c r="D993" s="49">
        <v>45790</v>
      </c>
      <c r="E993" s="10">
        <v>19</v>
      </c>
    </row>
    <row r="994" spans="2:5">
      <c r="B994" s="48" t="s">
        <v>22</v>
      </c>
      <c r="C994" s="48" t="s">
        <v>23</v>
      </c>
      <c r="D994" s="49">
        <v>45790</v>
      </c>
      <c r="E994" s="10">
        <v>14</v>
      </c>
    </row>
    <row r="995" spans="2:5">
      <c r="B995" s="48" t="s">
        <v>10</v>
      </c>
      <c r="C995" s="48" t="s">
        <v>11</v>
      </c>
      <c r="D995" s="49">
        <v>45790</v>
      </c>
      <c r="E995" s="10">
        <v>13</v>
      </c>
    </row>
    <row r="996" spans="2:5">
      <c r="B996" s="48" t="s">
        <v>16</v>
      </c>
      <c r="C996" s="48" t="s">
        <v>17</v>
      </c>
      <c r="D996" s="49">
        <v>45790</v>
      </c>
      <c r="E996" s="10">
        <v>5</v>
      </c>
    </row>
    <row r="997" spans="2:5">
      <c r="B997" s="48" t="s">
        <v>12</v>
      </c>
      <c r="C997" s="48" t="s">
        <v>13</v>
      </c>
      <c r="D997" s="49">
        <v>45791</v>
      </c>
      <c r="E997" s="10">
        <v>157</v>
      </c>
    </row>
    <row r="998" spans="2:5">
      <c r="B998" s="48" t="s">
        <v>8</v>
      </c>
      <c r="C998" s="48" t="s">
        <v>9</v>
      </c>
      <c r="D998" s="49">
        <v>45791</v>
      </c>
      <c r="E998" s="10">
        <v>102</v>
      </c>
    </row>
    <row r="999" spans="2:5">
      <c r="B999" s="48" t="s">
        <v>6</v>
      </c>
      <c r="C999" s="48" t="s">
        <v>7</v>
      </c>
      <c r="D999" s="49">
        <v>45791</v>
      </c>
      <c r="E999" s="10">
        <v>79</v>
      </c>
    </row>
    <row r="1000" spans="2:5">
      <c r="B1000" s="48" t="s">
        <v>35</v>
      </c>
      <c r="C1000" s="48" t="s">
        <v>36</v>
      </c>
      <c r="D1000" s="49">
        <v>45791</v>
      </c>
      <c r="E1000" s="10">
        <v>44</v>
      </c>
    </row>
    <row r="1001" spans="2:5">
      <c r="B1001" s="48" t="s">
        <v>37</v>
      </c>
      <c r="C1001" s="48" t="s">
        <v>38</v>
      </c>
      <c r="D1001" s="49">
        <v>45791</v>
      </c>
      <c r="E1001" s="10">
        <v>22</v>
      </c>
    </row>
    <row r="1002" spans="2:5">
      <c r="B1002" s="48" t="s">
        <v>10</v>
      </c>
      <c r="C1002" s="48" t="s">
        <v>11</v>
      </c>
      <c r="D1002" s="49">
        <v>45791</v>
      </c>
      <c r="E1002" s="10">
        <v>10</v>
      </c>
    </row>
    <row r="1003" spans="2:5">
      <c r="B1003" s="48" t="s">
        <v>16</v>
      </c>
      <c r="C1003" s="48" t="s">
        <v>17</v>
      </c>
      <c r="D1003" s="49">
        <v>45791</v>
      </c>
      <c r="E1003" s="10">
        <v>9</v>
      </c>
    </row>
    <row r="1004" spans="2:5">
      <c r="B1004" s="48" t="s">
        <v>20</v>
      </c>
      <c r="C1004" s="48" t="s">
        <v>21</v>
      </c>
      <c r="D1004" s="49">
        <v>45791</v>
      </c>
      <c r="E1004" s="10">
        <v>2</v>
      </c>
    </row>
    <row r="1005" spans="2:5">
      <c r="B1005" s="48" t="s">
        <v>14</v>
      </c>
      <c r="C1005" s="48" t="s">
        <v>15</v>
      </c>
      <c r="D1005" s="49">
        <v>45791</v>
      </c>
      <c r="E1005" s="10">
        <v>1</v>
      </c>
    </row>
    <row r="1006" spans="2:5">
      <c r="B1006" s="48" t="s">
        <v>24</v>
      </c>
      <c r="C1006" s="48" t="s">
        <v>25</v>
      </c>
      <c r="D1006" s="49">
        <v>45791</v>
      </c>
      <c r="E1006" s="10">
        <v>1</v>
      </c>
    </row>
    <row r="1007" spans="2:5">
      <c r="B1007" s="48" t="s">
        <v>4</v>
      </c>
      <c r="C1007" s="48" t="s">
        <v>5</v>
      </c>
      <c r="D1007" s="49">
        <v>45792</v>
      </c>
      <c r="E1007" s="10">
        <v>302.7</v>
      </c>
    </row>
    <row r="1008" spans="2:5">
      <c r="B1008" s="48" t="s">
        <v>8</v>
      </c>
      <c r="C1008" s="48" t="s">
        <v>9</v>
      </c>
      <c r="D1008" s="49">
        <v>45792</v>
      </c>
      <c r="E1008" s="10">
        <v>112</v>
      </c>
    </row>
    <row r="1009" spans="2:5">
      <c r="B1009" s="48" t="s">
        <v>14</v>
      </c>
      <c r="C1009" s="48" t="s">
        <v>15</v>
      </c>
      <c r="D1009" s="49">
        <v>45792</v>
      </c>
      <c r="E1009" s="10">
        <v>70</v>
      </c>
    </row>
    <row r="1010" spans="2:5">
      <c r="B1010" s="48" t="s">
        <v>24</v>
      </c>
      <c r="C1010" s="48" t="s">
        <v>25</v>
      </c>
      <c r="D1010" s="49">
        <v>45792</v>
      </c>
      <c r="E1010" s="10">
        <v>70</v>
      </c>
    </row>
    <row r="1011" spans="2:5">
      <c r="B1011" s="48" t="s">
        <v>6</v>
      </c>
      <c r="C1011" s="48" t="s">
        <v>7</v>
      </c>
      <c r="D1011" s="49">
        <v>45792</v>
      </c>
      <c r="E1011" s="10">
        <v>47</v>
      </c>
    </row>
    <row r="1012" spans="2:5">
      <c r="B1012" s="48" t="s">
        <v>12</v>
      </c>
      <c r="C1012" s="48" t="s">
        <v>13</v>
      </c>
      <c r="D1012" s="49">
        <v>45792</v>
      </c>
      <c r="E1012" s="10">
        <v>42</v>
      </c>
    </row>
    <row r="1013" spans="2:5">
      <c r="B1013" s="48" t="s">
        <v>16</v>
      </c>
      <c r="C1013" s="48" t="s">
        <v>17</v>
      </c>
      <c r="D1013" s="49">
        <v>45792</v>
      </c>
      <c r="E1013" s="10">
        <v>38</v>
      </c>
    </row>
    <row r="1014" spans="2:5">
      <c r="B1014" s="48" t="s">
        <v>35</v>
      </c>
      <c r="C1014" s="48" t="s">
        <v>36</v>
      </c>
      <c r="D1014" s="49">
        <v>45792</v>
      </c>
      <c r="E1014" s="10">
        <v>31</v>
      </c>
    </row>
    <row r="1015" spans="2:5">
      <c r="B1015" s="48" t="s">
        <v>10</v>
      </c>
      <c r="C1015" s="48" t="s">
        <v>11</v>
      </c>
      <c r="D1015" s="49">
        <v>45792</v>
      </c>
      <c r="E1015" s="10">
        <v>13</v>
      </c>
    </row>
    <row r="1016" spans="2:5">
      <c r="B1016" s="48" t="s">
        <v>37</v>
      </c>
      <c r="C1016" s="48" t="s">
        <v>38</v>
      </c>
      <c r="D1016" s="49">
        <v>45792</v>
      </c>
      <c r="E1016" s="10">
        <v>11</v>
      </c>
    </row>
    <row r="1017" spans="2:5">
      <c r="B1017" s="48" t="s">
        <v>4</v>
      </c>
      <c r="C1017" s="48" t="s">
        <v>5</v>
      </c>
      <c r="D1017" s="49">
        <v>45793</v>
      </c>
      <c r="E1017" s="10">
        <v>669.58</v>
      </c>
    </row>
    <row r="1018" spans="2:5">
      <c r="B1018" s="48" t="s">
        <v>8</v>
      </c>
      <c r="C1018" s="48" t="s">
        <v>9</v>
      </c>
      <c r="D1018" s="49">
        <v>45793</v>
      </c>
      <c r="E1018" s="10">
        <v>90</v>
      </c>
    </row>
    <row r="1019" spans="2:5">
      <c r="B1019" s="48" t="s">
        <v>12</v>
      </c>
      <c r="C1019" s="48" t="s">
        <v>13</v>
      </c>
      <c r="D1019" s="49">
        <v>45793</v>
      </c>
      <c r="E1019" s="10">
        <v>71</v>
      </c>
    </row>
    <row r="1020" spans="2:5">
      <c r="B1020" s="48" t="s">
        <v>16</v>
      </c>
      <c r="C1020" s="48" t="s">
        <v>17</v>
      </c>
      <c r="D1020" s="49">
        <v>45793</v>
      </c>
      <c r="E1020" s="10">
        <v>31</v>
      </c>
    </row>
    <row r="1021" spans="2:5">
      <c r="B1021" s="48" t="s">
        <v>37</v>
      </c>
      <c r="C1021" s="48" t="s">
        <v>38</v>
      </c>
      <c r="D1021" s="49">
        <v>45793</v>
      </c>
      <c r="E1021" s="10">
        <v>23</v>
      </c>
    </row>
    <row r="1022" spans="2:5">
      <c r="B1022" s="48" t="s">
        <v>18</v>
      </c>
      <c r="C1022" s="48" t="s">
        <v>19</v>
      </c>
      <c r="D1022" s="49">
        <v>45793</v>
      </c>
      <c r="E1022" s="10">
        <v>23</v>
      </c>
    </row>
    <row r="1023" spans="2:5">
      <c r="B1023" s="48" t="s">
        <v>35</v>
      </c>
      <c r="C1023" s="48" t="s">
        <v>36</v>
      </c>
      <c r="D1023" s="49">
        <v>45793</v>
      </c>
      <c r="E1023" s="10">
        <v>22</v>
      </c>
    </row>
    <row r="1024" spans="2:5">
      <c r="B1024" s="48" t="s">
        <v>33</v>
      </c>
      <c r="C1024" s="48" t="s">
        <v>34</v>
      </c>
      <c r="D1024" s="49">
        <v>45793</v>
      </c>
      <c r="E1024" s="10">
        <v>12</v>
      </c>
    </row>
    <row r="1025" spans="2:5">
      <c r="B1025" s="48" t="s">
        <v>24</v>
      </c>
      <c r="C1025" s="48" t="s">
        <v>25</v>
      </c>
      <c r="D1025" s="49">
        <v>45793</v>
      </c>
      <c r="E1025" s="10">
        <v>9</v>
      </c>
    </row>
    <row r="1026" spans="2:5">
      <c r="B1026" s="48" t="s">
        <v>10</v>
      </c>
      <c r="C1026" s="48" t="s">
        <v>11</v>
      </c>
      <c r="D1026" s="49">
        <v>45793</v>
      </c>
      <c r="E1026" s="10">
        <v>4</v>
      </c>
    </row>
    <row r="1027" spans="2:5">
      <c r="B1027" s="48" t="s">
        <v>4</v>
      </c>
      <c r="C1027" s="48" t="s">
        <v>5</v>
      </c>
      <c r="D1027" s="49">
        <v>45796</v>
      </c>
      <c r="E1027" s="10">
        <v>150.6</v>
      </c>
    </row>
    <row r="1028" spans="2:5">
      <c r="B1028" s="48" t="s">
        <v>8</v>
      </c>
      <c r="C1028" s="48" t="s">
        <v>9</v>
      </c>
      <c r="D1028" s="49">
        <v>45796</v>
      </c>
      <c r="E1028" s="10">
        <v>135</v>
      </c>
    </row>
    <row r="1029" spans="2:5">
      <c r="B1029" s="48" t="s">
        <v>12</v>
      </c>
      <c r="C1029" s="48" t="s">
        <v>13</v>
      </c>
      <c r="D1029" s="49">
        <v>45796</v>
      </c>
      <c r="E1029" s="10">
        <v>70</v>
      </c>
    </row>
    <row r="1030" spans="2:5">
      <c r="B1030" s="48" t="s">
        <v>6</v>
      </c>
      <c r="C1030" s="48" t="s">
        <v>7</v>
      </c>
      <c r="D1030" s="49">
        <v>45796</v>
      </c>
      <c r="E1030" s="10">
        <v>29</v>
      </c>
    </row>
    <row r="1031" spans="2:5">
      <c r="B1031" s="48" t="s">
        <v>37</v>
      </c>
      <c r="C1031" s="48" t="s">
        <v>38</v>
      </c>
      <c r="D1031" s="49">
        <v>45796</v>
      </c>
      <c r="E1031" s="10">
        <v>24</v>
      </c>
    </row>
    <row r="1032" spans="2:5">
      <c r="B1032" s="48" t="s">
        <v>35</v>
      </c>
      <c r="C1032" s="48" t="s">
        <v>36</v>
      </c>
      <c r="D1032" s="49">
        <v>45796</v>
      </c>
      <c r="E1032" s="10">
        <v>18</v>
      </c>
    </row>
    <row r="1033" spans="2:5">
      <c r="B1033" s="48" t="s">
        <v>16</v>
      </c>
      <c r="C1033" s="48" t="s">
        <v>17</v>
      </c>
      <c r="D1033" s="49">
        <v>45796</v>
      </c>
      <c r="E1033" s="10">
        <v>15</v>
      </c>
    </row>
    <row r="1034" spans="2:5">
      <c r="B1034" s="48" t="s">
        <v>10</v>
      </c>
      <c r="C1034" s="48" t="s">
        <v>11</v>
      </c>
      <c r="D1034" s="49">
        <v>45796</v>
      </c>
      <c r="E1034" s="10">
        <v>14</v>
      </c>
    </row>
    <row r="1035" spans="2:5">
      <c r="B1035" s="48" t="s">
        <v>22</v>
      </c>
      <c r="C1035" s="48" t="s">
        <v>23</v>
      </c>
      <c r="D1035" s="49">
        <v>45796</v>
      </c>
      <c r="E1035" s="10">
        <v>9</v>
      </c>
    </row>
    <row r="1036" spans="2:5">
      <c r="B1036" s="48" t="s">
        <v>18</v>
      </c>
      <c r="C1036" s="48" t="s">
        <v>19</v>
      </c>
      <c r="D1036" s="49">
        <v>45796</v>
      </c>
      <c r="E1036" s="10">
        <v>8</v>
      </c>
    </row>
    <row r="1037" spans="2:5">
      <c r="B1037" s="48" t="s">
        <v>20</v>
      </c>
      <c r="C1037" s="48" t="s">
        <v>21</v>
      </c>
      <c r="D1037" s="49">
        <v>45796</v>
      </c>
      <c r="E1037" s="10">
        <v>7</v>
      </c>
    </row>
    <row r="1038" spans="2:5">
      <c r="B1038" s="48" t="s">
        <v>12</v>
      </c>
      <c r="C1038" s="48" t="s">
        <v>13</v>
      </c>
      <c r="D1038" s="49">
        <v>45797</v>
      </c>
      <c r="E1038" s="10">
        <v>108</v>
      </c>
    </row>
    <row r="1039" spans="2:5">
      <c r="B1039" s="48" t="s">
        <v>4</v>
      </c>
      <c r="C1039" s="48" t="s">
        <v>5</v>
      </c>
      <c r="D1039" s="49">
        <v>45797</v>
      </c>
      <c r="E1039" s="10">
        <v>97.5</v>
      </c>
    </row>
    <row r="1040" spans="2:5">
      <c r="B1040" s="48" t="s">
        <v>8</v>
      </c>
      <c r="C1040" s="48" t="s">
        <v>9</v>
      </c>
      <c r="D1040" s="49">
        <v>45797</v>
      </c>
      <c r="E1040" s="10">
        <v>84</v>
      </c>
    </row>
    <row r="1041" spans="2:5">
      <c r="B1041" s="48" t="s">
        <v>16</v>
      </c>
      <c r="C1041" s="48" t="s">
        <v>17</v>
      </c>
      <c r="D1041" s="49">
        <v>45797</v>
      </c>
      <c r="E1041" s="10">
        <v>57</v>
      </c>
    </row>
    <row r="1042" spans="2:5">
      <c r="B1042" s="48" t="s">
        <v>6</v>
      </c>
      <c r="C1042" s="48" t="s">
        <v>7</v>
      </c>
      <c r="D1042" s="49">
        <v>45797</v>
      </c>
      <c r="E1042" s="10">
        <v>42</v>
      </c>
    </row>
    <row r="1043" spans="2:5">
      <c r="B1043" s="48" t="s">
        <v>37</v>
      </c>
      <c r="C1043" s="48" t="s">
        <v>38</v>
      </c>
      <c r="D1043" s="49">
        <v>45797</v>
      </c>
      <c r="E1043" s="10">
        <v>36</v>
      </c>
    </row>
    <row r="1044" spans="2:5">
      <c r="B1044" s="48" t="s">
        <v>35</v>
      </c>
      <c r="C1044" s="48" t="s">
        <v>36</v>
      </c>
      <c r="D1044" s="49">
        <v>45797</v>
      </c>
      <c r="E1044" s="10">
        <v>35</v>
      </c>
    </row>
    <row r="1045" spans="2:5">
      <c r="B1045" s="48" t="s">
        <v>18</v>
      </c>
      <c r="C1045" s="48" t="s">
        <v>19</v>
      </c>
      <c r="D1045" s="49">
        <v>45797</v>
      </c>
      <c r="E1045" s="10">
        <v>30</v>
      </c>
    </row>
    <row r="1046" spans="2:5">
      <c r="B1046" s="48" t="s">
        <v>10</v>
      </c>
      <c r="C1046" s="48" t="s">
        <v>11</v>
      </c>
      <c r="D1046" s="49">
        <v>45797</v>
      </c>
      <c r="E1046" s="10">
        <v>20</v>
      </c>
    </row>
    <row r="1047" spans="2:5">
      <c r="B1047" s="48" t="s">
        <v>14</v>
      </c>
      <c r="C1047" s="48" t="s">
        <v>15</v>
      </c>
      <c r="D1047" s="49">
        <v>45797</v>
      </c>
      <c r="E1047" s="10">
        <v>9</v>
      </c>
    </row>
    <row r="1048" spans="2:5">
      <c r="B1048" s="48" t="s">
        <v>22</v>
      </c>
      <c r="C1048" s="48" t="s">
        <v>23</v>
      </c>
      <c r="D1048" s="49">
        <v>45797</v>
      </c>
      <c r="E1048" s="10">
        <v>5</v>
      </c>
    </row>
    <row r="1049" spans="2:5">
      <c r="B1049" s="48" t="s">
        <v>24</v>
      </c>
      <c r="C1049" s="48" t="s">
        <v>25</v>
      </c>
      <c r="D1049" s="49">
        <v>45797</v>
      </c>
      <c r="E1049" s="10">
        <v>3</v>
      </c>
    </row>
    <row r="1050" spans="2:5">
      <c r="B1050" s="48" t="s">
        <v>4</v>
      </c>
      <c r="C1050" s="48" t="s">
        <v>5</v>
      </c>
      <c r="D1050" s="49">
        <v>45798</v>
      </c>
      <c r="E1050" s="10">
        <v>76.85</v>
      </c>
    </row>
    <row r="1051" spans="2:5">
      <c r="B1051" s="48" t="s">
        <v>6</v>
      </c>
      <c r="C1051" s="48" t="s">
        <v>7</v>
      </c>
      <c r="D1051" s="49">
        <v>45798</v>
      </c>
      <c r="E1051" s="10">
        <v>73</v>
      </c>
    </row>
    <row r="1052" spans="2:5">
      <c r="B1052" s="48" t="s">
        <v>46</v>
      </c>
      <c r="C1052" s="48" t="s">
        <v>47</v>
      </c>
      <c r="D1052" s="49">
        <v>45798</v>
      </c>
      <c r="E1052" s="10">
        <v>62</v>
      </c>
    </row>
    <row r="1053" spans="2:5">
      <c r="B1053" s="48" t="s">
        <v>8</v>
      </c>
      <c r="C1053" s="48" t="s">
        <v>9</v>
      </c>
      <c r="D1053" s="49">
        <v>45798</v>
      </c>
      <c r="E1053" s="10">
        <v>54</v>
      </c>
    </row>
    <row r="1054" spans="2:5">
      <c r="B1054" s="48" t="s">
        <v>12</v>
      </c>
      <c r="C1054" s="48" t="s">
        <v>13</v>
      </c>
      <c r="D1054" s="49">
        <v>45798</v>
      </c>
      <c r="E1054" s="10">
        <v>53</v>
      </c>
    </row>
    <row r="1055" spans="2:5">
      <c r="B1055" s="48" t="s">
        <v>22</v>
      </c>
      <c r="C1055" s="48" t="s">
        <v>23</v>
      </c>
      <c r="D1055" s="49">
        <v>45798</v>
      </c>
      <c r="E1055" s="10">
        <v>41</v>
      </c>
    </row>
    <row r="1056" spans="2:5">
      <c r="B1056" s="48" t="s">
        <v>16</v>
      </c>
      <c r="C1056" s="48" t="s">
        <v>17</v>
      </c>
      <c r="D1056" s="49">
        <v>45798</v>
      </c>
      <c r="E1056" s="10">
        <v>23</v>
      </c>
    </row>
    <row r="1057" spans="2:5">
      <c r="B1057" s="48" t="s">
        <v>37</v>
      </c>
      <c r="C1057" s="48" t="s">
        <v>38</v>
      </c>
      <c r="D1057" s="49">
        <v>45798</v>
      </c>
      <c r="E1057" s="10">
        <v>9</v>
      </c>
    </row>
    <row r="1058" spans="2:5">
      <c r="B1058" s="48" t="s">
        <v>10</v>
      </c>
      <c r="C1058" s="48" t="s">
        <v>11</v>
      </c>
      <c r="D1058" s="49">
        <v>45798</v>
      </c>
      <c r="E1058" s="10">
        <v>3</v>
      </c>
    </row>
    <row r="1059" spans="2:5">
      <c r="B1059" s="48" t="s">
        <v>18</v>
      </c>
      <c r="C1059" s="48" t="s">
        <v>19</v>
      </c>
      <c r="D1059" s="49">
        <v>45798</v>
      </c>
      <c r="E1059" s="10">
        <v>2</v>
      </c>
    </row>
    <row r="1060" spans="2:5">
      <c r="B1060" s="48" t="s">
        <v>24</v>
      </c>
      <c r="C1060" s="48" t="s">
        <v>25</v>
      </c>
      <c r="D1060" s="49">
        <v>45798</v>
      </c>
      <c r="E1060" s="10">
        <v>1</v>
      </c>
    </row>
    <row r="1061" spans="2:5">
      <c r="B1061" s="48" t="s">
        <v>31</v>
      </c>
      <c r="C1061" s="48" t="s">
        <v>32</v>
      </c>
      <c r="D1061" s="49">
        <v>45799</v>
      </c>
      <c r="E1061" s="10">
        <v>118.8</v>
      </c>
    </row>
    <row r="1062" spans="2:5">
      <c r="B1062" s="48" t="s">
        <v>4</v>
      </c>
      <c r="C1062" s="48" t="s">
        <v>5</v>
      </c>
      <c r="D1062" s="49">
        <v>45799</v>
      </c>
      <c r="E1062" s="10">
        <v>60.5</v>
      </c>
    </row>
    <row r="1063" spans="2:5">
      <c r="B1063" s="48" t="s">
        <v>8</v>
      </c>
      <c r="C1063" s="48" t="s">
        <v>9</v>
      </c>
      <c r="D1063" s="49">
        <v>45799</v>
      </c>
      <c r="E1063" s="10">
        <v>53</v>
      </c>
    </row>
    <row r="1064" spans="2:5">
      <c r="B1064" s="48" t="s">
        <v>18</v>
      </c>
      <c r="C1064" s="48" t="s">
        <v>19</v>
      </c>
      <c r="D1064" s="49">
        <v>45799</v>
      </c>
      <c r="E1064" s="10">
        <v>50</v>
      </c>
    </row>
    <row r="1065" spans="2:5">
      <c r="B1065" s="48" t="s">
        <v>14</v>
      </c>
      <c r="C1065" s="48" t="s">
        <v>15</v>
      </c>
      <c r="D1065" s="49">
        <v>45799</v>
      </c>
      <c r="E1065" s="10">
        <v>50</v>
      </c>
    </row>
    <row r="1066" spans="2:5">
      <c r="B1066" s="48" t="s">
        <v>12</v>
      </c>
      <c r="C1066" s="48" t="s">
        <v>13</v>
      </c>
      <c r="D1066" s="49">
        <v>45799</v>
      </c>
      <c r="E1066" s="10">
        <v>43</v>
      </c>
    </row>
    <row r="1067" spans="2:5">
      <c r="B1067" s="48" t="s">
        <v>37</v>
      </c>
      <c r="C1067" s="48" t="s">
        <v>38</v>
      </c>
      <c r="D1067" s="49">
        <v>45799</v>
      </c>
      <c r="E1067" s="10">
        <v>19</v>
      </c>
    </row>
    <row r="1068" spans="2:5">
      <c r="B1068" s="48" t="s">
        <v>24</v>
      </c>
      <c r="C1068" s="48" t="s">
        <v>25</v>
      </c>
      <c r="D1068" s="49">
        <v>45799</v>
      </c>
      <c r="E1068" s="10">
        <v>14</v>
      </c>
    </row>
    <row r="1069" spans="2:5">
      <c r="B1069" s="48" t="s">
        <v>10</v>
      </c>
      <c r="C1069" s="48" t="s">
        <v>11</v>
      </c>
      <c r="D1069" s="49">
        <v>45799</v>
      </c>
      <c r="E1069" s="10">
        <v>9</v>
      </c>
    </row>
    <row r="1070" spans="2:5">
      <c r="B1070" s="48" t="s">
        <v>35</v>
      </c>
      <c r="C1070" s="48" t="s">
        <v>36</v>
      </c>
      <c r="D1070" s="49">
        <v>45799</v>
      </c>
      <c r="E1070" s="10">
        <v>3</v>
      </c>
    </row>
    <row r="1071" spans="2:5">
      <c r="B1071" s="48" t="s">
        <v>22</v>
      </c>
      <c r="C1071" s="48" t="s">
        <v>23</v>
      </c>
      <c r="D1071" s="49">
        <v>45799</v>
      </c>
      <c r="E1071" s="10">
        <v>2</v>
      </c>
    </row>
    <row r="1072" spans="2:5">
      <c r="B1072" s="48" t="s">
        <v>6</v>
      </c>
      <c r="C1072" s="48" t="s">
        <v>7</v>
      </c>
      <c r="D1072" s="49">
        <v>45799</v>
      </c>
      <c r="E1072" s="10">
        <v>1</v>
      </c>
    </row>
    <row r="1073" spans="2:5">
      <c r="B1073" s="48" t="s">
        <v>4</v>
      </c>
      <c r="C1073" s="48" t="s">
        <v>5</v>
      </c>
      <c r="D1073" s="49">
        <v>45800</v>
      </c>
      <c r="E1073" s="10">
        <v>1117.4</v>
      </c>
    </row>
    <row r="1074" spans="2:5">
      <c r="B1074" s="48" t="s">
        <v>31</v>
      </c>
      <c r="C1074" s="48" t="s">
        <v>32</v>
      </c>
      <c r="D1074" s="49">
        <v>45800</v>
      </c>
      <c r="E1074" s="10">
        <v>75.6</v>
      </c>
    </row>
    <row r="1075" spans="2:5">
      <c r="B1075" s="48" t="s">
        <v>10</v>
      </c>
      <c r="C1075" s="48" t="s">
        <v>11</v>
      </c>
      <c r="D1075" s="49">
        <v>45800</v>
      </c>
      <c r="E1075" s="10">
        <v>36</v>
      </c>
    </row>
    <row r="1076" spans="2:5">
      <c r="B1076" s="48" t="s">
        <v>8</v>
      </c>
      <c r="C1076" s="48" t="s">
        <v>9</v>
      </c>
      <c r="D1076" s="49">
        <v>45800</v>
      </c>
      <c r="E1076" s="10">
        <v>36</v>
      </c>
    </row>
    <row r="1077" spans="2:5">
      <c r="B1077" s="48" t="s">
        <v>6</v>
      </c>
      <c r="C1077" s="48" t="s">
        <v>7</v>
      </c>
      <c r="D1077" s="49">
        <v>45800</v>
      </c>
      <c r="E1077" s="10">
        <v>23</v>
      </c>
    </row>
    <row r="1078" spans="2:5">
      <c r="B1078" s="48" t="s">
        <v>12</v>
      </c>
      <c r="C1078" s="48" t="s">
        <v>13</v>
      </c>
      <c r="D1078" s="49">
        <v>45800</v>
      </c>
      <c r="E1078" s="10">
        <v>22</v>
      </c>
    </row>
    <row r="1079" spans="2:5">
      <c r="B1079" s="48" t="s">
        <v>16</v>
      </c>
      <c r="C1079" s="48" t="s">
        <v>17</v>
      </c>
      <c r="D1079" s="49">
        <v>45800</v>
      </c>
      <c r="E1079" s="10">
        <v>18</v>
      </c>
    </row>
    <row r="1080" spans="2:5">
      <c r="B1080" s="48" t="s">
        <v>14</v>
      </c>
      <c r="C1080" s="48" t="s">
        <v>15</v>
      </c>
      <c r="D1080" s="49">
        <v>45800</v>
      </c>
      <c r="E1080" s="10">
        <v>16</v>
      </c>
    </row>
    <row r="1081" spans="2:5">
      <c r="B1081" s="48" t="s">
        <v>22</v>
      </c>
      <c r="C1081" s="48" t="s">
        <v>23</v>
      </c>
      <c r="D1081" s="49">
        <v>45800</v>
      </c>
      <c r="E1081" s="10">
        <v>16</v>
      </c>
    </row>
    <row r="1082" spans="2:5">
      <c r="B1082" s="48" t="s">
        <v>35</v>
      </c>
      <c r="C1082" s="48" t="s">
        <v>36</v>
      </c>
      <c r="D1082" s="49">
        <v>45800</v>
      </c>
      <c r="E1082" s="10">
        <v>9</v>
      </c>
    </row>
    <row r="1083" spans="2:5">
      <c r="B1083" s="48" t="s">
        <v>37</v>
      </c>
      <c r="C1083" s="48" t="s">
        <v>38</v>
      </c>
      <c r="D1083" s="49">
        <v>45800</v>
      </c>
      <c r="E1083" s="10">
        <v>8</v>
      </c>
    </row>
    <row r="1084" spans="2:5">
      <c r="B1084" s="48" t="s">
        <v>18</v>
      </c>
      <c r="C1084" s="48" t="s">
        <v>19</v>
      </c>
      <c r="D1084" s="49">
        <v>45800</v>
      </c>
      <c r="E1084" s="10">
        <v>4</v>
      </c>
    </row>
    <row r="1085" spans="2:5">
      <c r="B1085" s="48" t="s">
        <v>24</v>
      </c>
      <c r="C1085" s="48" t="s">
        <v>25</v>
      </c>
      <c r="D1085" s="49">
        <v>45800</v>
      </c>
      <c r="E1085" s="10">
        <v>4</v>
      </c>
    </row>
    <row r="1086" spans="2:5">
      <c r="B1086" s="48" t="s">
        <v>4</v>
      </c>
      <c r="C1086" s="48" t="s">
        <v>5</v>
      </c>
      <c r="D1086" s="49">
        <v>45803</v>
      </c>
      <c r="E1086" s="10">
        <v>154.46</v>
      </c>
    </row>
    <row r="1087" spans="2:5">
      <c r="B1087" s="48" t="s">
        <v>8</v>
      </c>
      <c r="C1087" s="48" t="s">
        <v>9</v>
      </c>
      <c r="D1087" s="49">
        <v>45803</v>
      </c>
      <c r="E1087" s="10">
        <v>109</v>
      </c>
    </row>
    <row r="1088" spans="2:5">
      <c r="B1088" s="48" t="s">
        <v>12</v>
      </c>
      <c r="C1088" s="48" t="s">
        <v>13</v>
      </c>
      <c r="D1088" s="49">
        <v>45803</v>
      </c>
      <c r="E1088" s="10">
        <v>65</v>
      </c>
    </row>
    <row r="1089" spans="2:5">
      <c r="B1089" s="48" t="s">
        <v>24</v>
      </c>
      <c r="C1089" s="48" t="s">
        <v>25</v>
      </c>
      <c r="D1089" s="49">
        <v>45803</v>
      </c>
      <c r="E1089" s="10">
        <v>51</v>
      </c>
    </row>
    <row r="1090" spans="2:5">
      <c r="B1090" s="48" t="s">
        <v>35</v>
      </c>
      <c r="C1090" s="48" t="s">
        <v>36</v>
      </c>
      <c r="D1090" s="49">
        <v>45803</v>
      </c>
      <c r="E1090" s="10">
        <v>45</v>
      </c>
    </row>
    <row r="1091" spans="2:5">
      <c r="B1091" s="48" t="s">
        <v>6</v>
      </c>
      <c r="C1091" s="48" t="s">
        <v>7</v>
      </c>
      <c r="D1091" s="49">
        <v>45803</v>
      </c>
      <c r="E1091" s="10">
        <v>29</v>
      </c>
    </row>
    <row r="1092" spans="2:5">
      <c r="B1092" s="48" t="s">
        <v>14</v>
      </c>
      <c r="C1092" s="48" t="s">
        <v>15</v>
      </c>
      <c r="D1092" s="49">
        <v>45803</v>
      </c>
      <c r="E1092" s="10">
        <v>12</v>
      </c>
    </row>
    <row r="1093" spans="2:5">
      <c r="B1093" s="48" t="s">
        <v>16</v>
      </c>
      <c r="C1093" s="48" t="s">
        <v>17</v>
      </c>
      <c r="D1093" s="49">
        <v>45803</v>
      </c>
      <c r="E1093" s="10">
        <v>11</v>
      </c>
    </row>
    <row r="1094" spans="2:5">
      <c r="B1094" s="48" t="s">
        <v>18</v>
      </c>
      <c r="C1094" s="48" t="s">
        <v>19</v>
      </c>
      <c r="D1094" s="49">
        <v>45803</v>
      </c>
      <c r="E1094" s="10">
        <v>10</v>
      </c>
    </row>
    <row r="1095" spans="2:5">
      <c r="B1095" s="48" t="s">
        <v>10</v>
      </c>
      <c r="C1095" s="48" t="s">
        <v>11</v>
      </c>
      <c r="D1095" s="49">
        <v>45803</v>
      </c>
      <c r="E1095" s="10">
        <v>7</v>
      </c>
    </row>
    <row r="1096" spans="2:5">
      <c r="B1096" s="48" t="s">
        <v>20</v>
      </c>
      <c r="C1096" s="48" t="s">
        <v>21</v>
      </c>
      <c r="D1096" s="49">
        <v>45803</v>
      </c>
      <c r="E1096" s="10">
        <v>6</v>
      </c>
    </row>
    <row r="1097" spans="2:5">
      <c r="B1097" s="48" t="s">
        <v>4</v>
      </c>
      <c r="C1097" s="48" t="s">
        <v>5</v>
      </c>
      <c r="D1097" s="49">
        <v>45804</v>
      </c>
      <c r="E1097" s="10">
        <v>1002.7</v>
      </c>
    </row>
    <row r="1098" spans="2:5">
      <c r="B1098" s="48" t="s">
        <v>6</v>
      </c>
      <c r="C1098" s="48" t="s">
        <v>7</v>
      </c>
      <c r="D1098" s="49">
        <v>45804</v>
      </c>
      <c r="E1098" s="10">
        <v>123</v>
      </c>
    </row>
    <row r="1099" spans="2:5">
      <c r="B1099" s="48" t="s">
        <v>8</v>
      </c>
      <c r="C1099" s="48" t="s">
        <v>9</v>
      </c>
      <c r="D1099" s="49">
        <v>45804</v>
      </c>
      <c r="E1099" s="10">
        <v>92</v>
      </c>
    </row>
    <row r="1100" spans="2:5">
      <c r="B1100" s="48" t="s">
        <v>12</v>
      </c>
      <c r="C1100" s="48" t="s">
        <v>13</v>
      </c>
      <c r="D1100" s="49">
        <v>45804</v>
      </c>
      <c r="E1100" s="10">
        <v>64</v>
      </c>
    </row>
    <row r="1101" spans="2:5">
      <c r="B1101" s="48" t="s">
        <v>16</v>
      </c>
      <c r="C1101" s="48" t="s">
        <v>17</v>
      </c>
      <c r="D1101" s="49">
        <v>45804</v>
      </c>
      <c r="E1101" s="10">
        <v>56</v>
      </c>
    </row>
    <row r="1102" spans="2:5">
      <c r="B1102" s="48" t="s">
        <v>10</v>
      </c>
      <c r="C1102" s="48" t="s">
        <v>11</v>
      </c>
      <c r="D1102" s="49">
        <v>45804</v>
      </c>
      <c r="E1102" s="10">
        <v>40</v>
      </c>
    </row>
    <row r="1103" spans="2:5">
      <c r="B1103" s="48" t="s">
        <v>14</v>
      </c>
      <c r="C1103" s="48" t="s">
        <v>15</v>
      </c>
      <c r="D1103" s="49">
        <v>45804</v>
      </c>
      <c r="E1103" s="10">
        <v>21</v>
      </c>
    </row>
    <row r="1104" spans="2:5">
      <c r="B1104" s="48" t="s">
        <v>37</v>
      </c>
      <c r="C1104" s="48" t="s">
        <v>38</v>
      </c>
      <c r="D1104" s="49">
        <v>45804</v>
      </c>
      <c r="E1104" s="10">
        <v>14</v>
      </c>
    </row>
    <row r="1105" spans="2:5">
      <c r="B1105" s="48" t="s">
        <v>18</v>
      </c>
      <c r="C1105" s="48" t="s">
        <v>19</v>
      </c>
      <c r="D1105" s="49">
        <v>45804</v>
      </c>
      <c r="E1105" s="10">
        <v>13</v>
      </c>
    </row>
    <row r="1106" spans="2:5">
      <c r="B1106" s="48" t="s">
        <v>24</v>
      </c>
      <c r="C1106" s="48" t="s">
        <v>25</v>
      </c>
      <c r="D1106" s="49">
        <v>45804</v>
      </c>
      <c r="E1106" s="10">
        <v>13</v>
      </c>
    </row>
    <row r="1107" spans="2:5">
      <c r="B1107" s="48" t="s">
        <v>22</v>
      </c>
      <c r="C1107" s="48" t="s">
        <v>23</v>
      </c>
      <c r="D1107" s="49">
        <v>45804</v>
      </c>
      <c r="E1107" s="10">
        <v>5</v>
      </c>
    </row>
    <row r="1108" spans="2:5">
      <c r="B1108" s="48" t="s">
        <v>35</v>
      </c>
      <c r="C1108" s="48" t="s">
        <v>36</v>
      </c>
      <c r="D1108" s="49">
        <v>45804</v>
      </c>
      <c r="E1108" s="10">
        <v>4</v>
      </c>
    </row>
    <row r="1109" spans="2:5">
      <c r="B1109" s="48" t="s">
        <v>20</v>
      </c>
      <c r="C1109" s="48" t="s">
        <v>21</v>
      </c>
      <c r="D1109" s="49">
        <v>45804</v>
      </c>
      <c r="E1109" s="10">
        <v>2</v>
      </c>
    </row>
    <row r="1110" spans="2:5">
      <c r="B1110" s="48" t="s">
        <v>4</v>
      </c>
      <c r="C1110" s="48" t="s">
        <v>5</v>
      </c>
      <c r="D1110" s="49">
        <v>45805</v>
      </c>
      <c r="E1110" s="10">
        <v>658.4</v>
      </c>
    </row>
    <row r="1111" spans="2:5">
      <c r="B1111" s="48" t="s">
        <v>6</v>
      </c>
      <c r="C1111" s="48" t="s">
        <v>7</v>
      </c>
      <c r="D1111" s="49">
        <v>45805</v>
      </c>
      <c r="E1111" s="10">
        <v>214</v>
      </c>
    </row>
    <row r="1112" spans="2:5">
      <c r="B1112" s="48" t="s">
        <v>8</v>
      </c>
      <c r="C1112" s="48" t="s">
        <v>9</v>
      </c>
      <c r="D1112" s="49">
        <v>45805</v>
      </c>
      <c r="E1112" s="10">
        <v>170</v>
      </c>
    </row>
    <row r="1113" spans="2:5">
      <c r="B1113" s="48" t="s">
        <v>16</v>
      </c>
      <c r="C1113" s="48" t="s">
        <v>17</v>
      </c>
      <c r="D1113" s="49">
        <v>45805</v>
      </c>
      <c r="E1113" s="10">
        <v>147</v>
      </c>
    </row>
    <row r="1114" spans="2:5">
      <c r="B1114" s="48" t="s">
        <v>10</v>
      </c>
      <c r="C1114" s="48" t="s">
        <v>11</v>
      </c>
      <c r="D1114" s="49">
        <v>45805</v>
      </c>
      <c r="E1114" s="10">
        <v>119</v>
      </c>
    </row>
    <row r="1115" spans="2:5">
      <c r="B1115" s="48" t="s">
        <v>12</v>
      </c>
      <c r="C1115" s="48" t="s">
        <v>13</v>
      </c>
      <c r="D1115" s="49">
        <v>45805</v>
      </c>
      <c r="E1115" s="10">
        <v>102</v>
      </c>
    </row>
    <row r="1116" spans="2:5">
      <c r="B1116" s="48" t="s">
        <v>35</v>
      </c>
      <c r="C1116" s="48" t="s">
        <v>36</v>
      </c>
      <c r="D1116" s="49">
        <v>45805</v>
      </c>
      <c r="E1116" s="10">
        <v>92</v>
      </c>
    </row>
    <row r="1117" spans="2:5">
      <c r="B1117" s="48" t="s">
        <v>14</v>
      </c>
      <c r="C1117" s="48" t="s">
        <v>15</v>
      </c>
      <c r="D1117" s="49">
        <v>45805</v>
      </c>
      <c r="E1117" s="10">
        <v>36</v>
      </c>
    </row>
    <row r="1118" spans="2:5">
      <c r="B1118" s="48" t="s">
        <v>22</v>
      </c>
      <c r="C1118" s="48" t="s">
        <v>23</v>
      </c>
      <c r="D1118" s="49">
        <v>45805</v>
      </c>
      <c r="E1118" s="10">
        <v>29</v>
      </c>
    </row>
    <row r="1119" spans="2:5">
      <c r="B1119" s="48" t="s">
        <v>24</v>
      </c>
      <c r="C1119" s="48" t="s">
        <v>25</v>
      </c>
      <c r="D1119" s="49">
        <v>45805</v>
      </c>
      <c r="E1119" s="10">
        <v>26</v>
      </c>
    </row>
    <row r="1120" spans="2:5">
      <c r="B1120" s="48" t="s">
        <v>18</v>
      </c>
      <c r="C1120" s="48" t="s">
        <v>19</v>
      </c>
      <c r="D1120" s="49">
        <v>45805</v>
      </c>
      <c r="E1120" s="10">
        <v>21</v>
      </c>
    </row>
    <row r="1121" spans="2:5">
      <c r="B1121" s="48" t="s">
        <v>37</v>
      </c>
      <c r="C1121" s="48" t="s">
        <v>38</v>
      </c>
      <c r="D1121" s="49">
        <v>45805</v>
      </c>
      <c r="E1121" s="10">
        <v>17</v>
      </c>
    </row>
    <row r="1122" spans="2:5">
      <c r="B1122" s="48" t="s">
        <v>20</v>
      </c>
      <c r="C1122" s="48" t="s">
        <v>21</v>
      </c>
      <c r="D1122" s="49">
        <v>45805</v>
      </c>
      <c r="E1122" s="10">
        <v>11</v>
      </c>
    </row>
    <row r="1123" spans="2:5">
      <c r="B1123" s="48" t="s">
        <v>4</v>
      </c>
      <c r="C1123" s="48" t="s">
        <v>5</v>
      </c>
      <c r="D1123" s="49">
        <v>45806</v>
      </c>
      <c r="E1123" s="10">
        <v>1656.5</v>
      </c>
    </row>
    <row r="1124" spans="2:5">
      <c r="B1124" s="48" t="s">
        <v>31</v>
      </c>
      <c r="C1124" s="48" t="s">
        <v>32</v>
      </c>
      <c r="D1124" s="49">
        <v>45806</v>
      </c>
      <c r="E1124" s="10">
        <v>204.9</v>
      </c>
    </row>
    <row r="1125" spans="2:5">
      <c r="B1125" s="48" t="s">
        <v>8</v>
      </c>
      <c r="C1125" s="48" t="s">
        <v>9</v>
      </c>
      <c r="D1125" s="49">
        <v>45806</v>
      </c>
      <c r="E1125" s="10">
        <v>160</v>
      </c>
    </row>
    <row r="1126" spans="2:5">
      <c r="B1126" s="48" t="s">
        <v>24</v>
      </c>
      <c r="C1126" s="48" t="s">
        <v>25</v>
      </c>
      <c r="D1126" s="49">
        <v>45806</v>
      </c>
      <c r="E1126" s="10">
        <v>77</v>
      </c>
    </row>
    <row r="1127" spans="2:5">
      <c r="B1127" s="48" t="s">
        <v>6</v>
      </c>
      <c r="C1127" s="48" t="s">
        <v>7</v>
      </c>
      <c r="D1127" s="49">
        <v>45806</v>
      </c>
      <c r="E1127" s="10">
        <v>60</v>
      </c>
    </row>
    <row r="1128" spans="2:5">
      <c r="B1128" s="48" t="s">
        <v>12</v>
      </c>
      <c r="C1128" s="48" t="s">
        <v>13</v>
      </c>
      <c r="D1128" s="49">
        <v>45806</v>
      </c>
      <c r="E1128" s="10">
        <v>57</v>
      </c>
    </row>
    <row r="1129" spans="2:5">
      <c r="B1129" s="48" t="s">
        <v>20</v>
      </c>
      <c r="C1129" s="48" t="s">
        <v>21</v>
      </c>
      <c r="D1129" s="49">
        <v>45806</v>
      </c>
      <c r="E1129" s="10">
        <v>48</v>
      </c>
    </row>
    <row r="1130" spans="2:5">
      <c r="B1130" s="48" t="s">
        <v>18</v>
      </c>
      <c r="C1130" s="48" t="s">
        <v>19</v>
      </c>
      <c r="D1130" s="49">
        <v>45806</v>
      </c>
      <c r="E1130" s="10">
        <v>46</v>
      </c>
    </row>
    <row r="1131" spans="2:5">
      <c r="B1131" s="48" t="s">
        <v>10</v>
      </c>
      <c r="C1131" s="48" t="s">
        <v>11</v>
      </c>
      <c r="D1131" s="49">
        <v>45806</v>
      </c>
      <c r="E1131" s="10">
        <v>44</v>
      </c>
    </row>
    <row r="1132" spans="2:5">
      <c r="B1132" s="48" t="s">
        <v>35</v>
      </c>
      <c r="C1132" s="48" t="s">
        <v>36</v>
      </c>
      <c r="D1132" s="49">
        <v>45806</v>
      </c>
      <c r="E1132" s="10">
        <v>31</v>
      </c>
    </row>
    <row r="1133" spans="2:5">
      <c r="B1133" s="48" t="s">
        <v>14</v>
      </c>
      <c r="C1133" s="48" t="s">
        <v>15</v>
      </c>
      <c r="D1133" s="49">
        <v>45806</v>
      </c>
      <c r="E1133" s="10">
        <v>20</v>
      </c>
    </row>
    <row r="1134" spans="2:5">
      <c r="B1134" s="48" t="s">
        <v>16</v>
      </c>
      <c r="C1134" s="48" t="s">
        <v>17</v>
      </c>
      <c r="D1134" s="49">
        <v>45806</v>
      </c>
      <c r="E1134" s="10">
        <v>18</v>
      </c>
    </row>
    <row r="1135" spans="2:5">
      <c r="B1135" s="48" t="s">
        <v>4</v>
      </c>
      <c r="C1135" s="48" t="s">
        <v>5</v>
      </c>
      <c r="D1135" s="49">
        <v>45807</v>
      </c>
      <c r="E1135" s="10">
        <v>312.7</v>
      </c>
    </row>
    <row r="1136" spans="2:5">
      <c r="B1136" s="48" t="s">
        <v>8</v>
      </c>
      <c r="C1136" s="48" t="s">
        <v>9</v>
      </c>
      <c r="D1136" s="49">
        <v>45807</v>
      </c>
      <c r="E1136" s="10">
        <v>106</v>
      </c>
    </row>
    <row r="1137" spans="2:5">
      <c r="B1137" s="48" t="s">
        <v>24</v>
      </c>
      <c r="C1137" s="48" t="s">
        <v>25</v>
      </c>
      <c r="D1137" s="49">
        <v>45807</v>
      </c>
      <c r="E1137" s="10">
        <v>87</v>
      </c>
    </row>
    <row r="1138" spans="2:5">
      <c r="B1138" s="48" t="s">
        <v>20</v>
      </c>
      <c r="C1138" s="48" t="s">
        <v>21</v>
      </c>
      <c r="D1138" s="49">
        <v>45807</v>
      </c>
      <c r="E1138" s="10">
        <v>56</v>
      </c>
    </row>
    <row r="1139" spans="2:5">
      <c r="B1139" s="48" t="s">
        <v>14</v>
      </c>
      <c r="C1139" s="48" t="s">
        <v>15</v>
      </c>
      <c r="D1139" s="49">
        <v>45807</v>
      </c>
      <c r="E1139" s="10">
        <v>39</v>
      </c>
    </row>
    <row r="1140" spans="2:5">
      <c r="B1140" s="48" t="s">
        <v>16</v>
      </c>
      <c r="C1140" s="48" t="s">
        <v>17</v>
      </c>
      <c r="D1140" s="49">
        <v>45807</v>
      </c>
      <c r="E1140" s="10">
        <v>37</v>
      </c>
    </row>
    <row r="1141" spans="2:5">
      <c r="B1141" s="48" t="s">
        <v>6</v>
      </c>
      <c r="C1141" s="48" t="s">
        <v>7</v>
      </c>
      <c r="D1141" s="49">
        <v>45807</v>
      </c>
      <c r="E1141" s="10">
        <v>26</v>
      </c>
    </row>
    <row r="1142" spans="2:5">
      <c r="B1142" s="48" t="s">
        <v>12</v>
      </c>
      <c r="C1142" s="48" t="s">
        <v>13</v>
      </c>
      <c r="D1142" s="49">
        <v>45807</v>
      </c>
      <c r="E1142" s="10">
        <v>21</v>
      </c>
    </row>
    <row r="1143" spans="2:5">
      <c r="B1143" s="48" t="s">
        <v>35</v>
      </c>
      <c r="C1143" s="48" t="s">
        <v>36</v>
      </c>
      <c r="D1143" s="49">
        <v>45807</v>
      </c>
      <c r="E1143" s="10">
        <v>20</v>
      </c>
    </row>
    <row r="1144" spans="2:5">
      <c r="B1144" s="48" t="s">
        <v>22</v>
      </c>
      <c r="C1144" s="48" t="s">
        <v>23</v>
      </c>
      <c r="D1144" s="49">
        <v>45807</v>
      </c>
      <c r="E1144" s="10">
        <v>17</v>
      </c>
    </row>
    <row r="1145" spans="2:5">
      <c r="B1145" s="48" t="s">
        <v>37</v>
      </c>
      <c r="C1145" s="48" t="s">
        <v>38</v>
      </c>
      <c r="D1145" s="49">
        <v>45807</v>
      </c>
      <c r="E1145" s="10">
        <v>13</v>
      </c>
    </row>
    <row r="1146" spans="2:5">
      <c r="B1146" s="48" t="s">
        <v>10</v>
      </c>
      <c r="C1146" s="48" t="s">
        <v>11</v>
      </c>
      <c r="D1146" s="49">
        <v>45807</v>
      </c>
      <c r="E1146" s="10">
        <v>8</v>
      </c>
    </row>
    <row r="1147" spans="2:5">
      <c r="B1147" s="48" t="s">
        <v>18</v>
      </c>
      <c r="C1147" s="48" t="s">
        <v>19</v>
      </c>
      <c r="D1147" s="49">
        <v>45807</v>
      </c>
      <c r="E1147" s="10">
        <v>5</v>
      </c>
    </row>
    <row r="1148" spans="2:5">
      <c r="B1148" s="48" t="s">
        <v>8</v>
      </c>
      <c r="C1148" s="48" t="s">
        <v>9</v>
      </c>
      <c r="D1148" s="49">
        <v>45810</v>
      </c>
      <c r="E1148" s="10">
        <v>270</v>
      </c>
    </row>
    <row r="1149" spans="2:5">
      <c r="B1149" s="48" t="s">
        <v>20</v>
      </c>
      <c r="C1149" s="48" t="s">
        <v>21</v>
      </c>
      <c r="D1149" s="49">
        <v>45810</v>
      </c>
      <c r="E1149" s="10">
        <v>122</v>
      </c>
    </row>
    <row r="1150" spans="2:5">
      <c r="B1150" s="48" t="s">
        <v>12</v>
      </c>
      <c r="C1150" s="48" t="s">
        <v>13</v>
      </c>
      <c r="D1150" s="49">
        <v>45810</v>
      </c>
      <c r="E1150" s="10">
        <v>118</v>
      </c>
    </row>
    <row r="1151" spans="2:5">
      <c r="B1151" s="48" t="s">
        <v>35</v>
      </c>
      <c r="C1151" s="48" t="s">
        <v>36</v>
      </c>
      <c r="D1151" s="49">
        <v>45810</v>
      </c>
      <c r="E1151" s="10">
        <v>75</v>
      </c>
    </row>
    <row r="1152" spans="2:5">
      <c r="B1152" s="48" t="s">
        <v>24</v>
      </c>
      <c r="C1152" s="48" t="s">
        <v>25</v>
      </c>
      <c r="D1152" s="49">
        <v>45810</v>
      </c>
      <c r="E1152" s="10">
        <v>67</v>
      </c>
    </row>
    <row r="1153" spans="2:5">
      <c r="B1153" s="48" t="s">
        <v>4</v>
      </c>
      <c r="C1153" s="48" t="s">
        <v>5</v>
      </c>
      <c r="D1153" s="49">
        <v>45810</v>
      </c>
      <c r="E1153" s="10">
        <v>54</v>
      </c>
    </row>
    <row r="1154" spans="2:5">
      <c r="B1154" s="48" t="s">
        <v>6</v>
      </c>
      <c r="C1154" s="48" t="s">
        <v>7</v>
      </c>
      <c r="D1154" s="49">
        <v>45810</v>
      </c>
      <c r="E1154" s="10">
        <v>45</v>
      </c>
    </row>
    <row r="1155" spans="2:5">
      <c r="B1155" s="48" t="s">
        <v>16</v>
      </c>
      <c r="C1155" s="48" t="s">
        <v>17</v>
      </c>
      <c r="D1155" s="49">
        <v>45810</v>
      </c>
      <c r="E1155" s="10">
        <v>25</v>
      </c>
    </row>
    <row r="1156" spans="2:5">
      <c r="B1156" s="48" t="s">
        <v>10</v>
      </c>
      <c r="C1156" s="48" t="s">
        <v>11</v>
      </c>
      <c r="D1156" s="49">
        <v>45810</v>
      </c>
      <c r="E1156" s="10">
        <v>10</v>
      </c>
    </row>
    <row r="1157" spans="2:5">
      <c r="B1157" s="48" t="s">
        <v>18</v>
      </c>
      <c r="C1157" s="48" t="s">
        <v>19</v>
      </c>
      <c r="D1157" s="49">
        <v>45810</v>
      </c>
      <c r="E1157" s="10">
        <v>5</v>
      </c>
    </row>
    <row r="1158" spans="2:5">
      <c r="B1158" s="48" t="s">
        <v>4</v>
      </c>
      <c r="C1158" s="48" t="s">
        <v>5</v>
      </c>
      <c r="D1158" s="49">
        <v>45811</v>
      </c>
      <c r="E1158" s="10">
        <v>341.7</v>
      </c>
    </row>
    <row r="1159" spans="2:5">
      <c r="B1159" s="48" t="s">
        <v>16</v>
      </c>
      <c r="C1159" s="48" t="s">
        <v>17</v>
      </c>
      <c r="D1159" s="49">
        <v>45811</v>
      </c>
      <c r="E1159" s="10">
        <v>121</v>
      </c>
    </row>
    <row r="1160" spans="2:5">
      <c r="B1160" s="48" t="s">
        <v>12</v>
      </c>
      <c r="C1160" s="48" t="s">
        <v>13</v>
      </c>
      <c r="D1160" s="49">
        <v>45811</v>
      </c>
      <c r="E1160" s="10">
        <v>89</v>
      </c>
    </row>
    <row r="1161" spans="2:5">
      <c r="B1161" s="48" t="s">
        <v>8</v>
      </c>
      <c r="C1161" s="48" t="s">
        <v>9</v>
      </c>
      <c r="D1161" s="49">
        <v>45811</v>
      </c>
      <c r="E1161" s="10">
        <v>87</v>
      </c>
    </row>
    <row r="1162" spans="2:5">
      <c r="B1162" s="48" t="s">
        <v>22</v>
      </c>
      <c r="C1162" s="48" t="s">
        <v>23</v>
      </c>
      <c r="D1162" s="49">
        <v>45811</v>
      </c>
      <c r="E1162" s="10">
        <v>72</v>
      </c>
    </row>
    <row r="1163" spans="2:5">
      <c r="B1163" s="48" t="s">
        <v>18</v>
      </c>
      <c r="C1163" s="48" t="s">
        <v>19</v>
      </c>
      <c r="D1163" s="49">
        <v>45811</v>
      </c>
      <c r="E1163" s="10">
        <v>44</v>
      </c>
    </row>
    <row r="1164" spans="2:5">
      <c r="B1164" s="48" t="s">
        <v>6</v>
      </c>
      <c r="C1164" s="48" t="s">
        <v>7</v>
      </c>
      <c r="D1164" s="49">
        <v>45811</v>
      </c>
      <c r="E1164" s="10">
        <v>23</v>
      </c>
    </row>
    <row r="1165" spans="2:5">
      <c r="B1165" s="48" t="s">
        <v>24</v>
      </c>
      <c r="C1165" s="48" t="s">
        <v>25</v>
      </c>
      <c r="D1165" s="49">
        <v>45811</v>
      </c>
      <c r="E1165" s="10">
        <v>21</v>
      </c>
    </row>
    <row r="1166" spans="2:5">
      <c r="B1166" s="48" t="s">
        <v>14</v>
      </c>
      <c r="C1166" s="48" t="s">
        <v>15</v>
      </c>
      <c r="D1166" s="49">
        <v>45811</v>
      </c>
      <c r="E1166" s="10">
        <v>14</v>
      </c>
    </row>
    <row r="1167" spans="2:5">
      <c r="B1167" s="48" t="s">
        <v>10</v>
      </c>
      <c r="C1167" s="48" t="s">
        <v>11</v>
      </c>
      <c r="D1167" s="49">
        <v>45811</v>
      </c>
      <c r="E1167" s="10">
        <v>2</v>
      </c>
    </row>
    <row r="1168" spans="2:5">
      <c r="B1168" s="48" t="s">
        <v>37</v>
      </c>
      <c r="C1168" s="48" t="s">
        <v>38</v>
      </c>
      <c r="D1168" s="49">
        <v>45811</v>
      </c>
      <c r="E1168" s="10">
        <v>1</v>
      </c>
    </row>
    <row r="1169" spans="2:5">
      <c r="B1169" s="48" t="s">
        <v>4</v>
      </c>
      <c r="C1169" s="48" t="s">
        <v>5</v>
      </c>
      <c r="D1169" s="49">
        <v>45812</v>
      </c>
      <c r="E1169" s="10">
        <v>659.2</v>
      </c>
    </row>
    <row r="1170" spans="2:5">
      <c r="B1170" s="48" t="s">
        <v>31</v>
      </c>
      <c r="C1170" s="48" t="s">
        <v>32</v>
      </c>
      <c r="D1170" s="49">
        <v>45812</v>
      </c>
      <c r="E1170" s="10">
        <v>315.4</v>
      </c>
    </row>
    <row r="1171" spans="2:5">
      <c r="B1171" s="48" t="s">
        <v>12</v>
      </c>
      <c r="C1171" s="48" t="s">
        <v>13</v>
      </c>
      <c r="D1171" s="49">
        <v>45812</v>
      </c>
      <c r="E1171" s="10">
        <v>194</v>
      </c>
    </row>
    <row r="1172" spans="2:5">
      <c r="B1172" s="48" t="s">
        <v>8</v>
      </c>
      <c r="C1172" s="48" t="s">
        <v>9</v>
      </c>
      <c r="D1172" s="49">
        <v>45812</v>
      </c>
      <c r="E1172" s="10">
        <v>127</v>
      </c>
    </row>
    <row r="1173" spans="2:5">
      <c r="B1173" s="48" t="s">
        <v>6</v>
      </c>
      <c r="C1173" s="48" t="s">
        <v>7</v>
      </c>
      <c r="D1173" s="49">
        <v>45812</v>
      </c>
      <c r="E1173" s="10">
        <v>79</v>
      </c>
    </row>
    <row r="1174" spans="2:5">
      <c r="B1174" s="48" t="s">
        <v>16</v>
      </c>
      <c r="C1174" s="48" t="s">
        <v>17</v>
      </c>
      <c r="D1174" s="49">
        <v>45812</v>
      </c>
      <c r="E1174" s="10">
        <v>70</v>
      </c>
    </row>
    <row r="1175" spans="2:5">
      <c r="B1175" s="48" t="s">
        <v>37</v>
      </c>
      <c r="C1175" s="48" t="s">
        <v>38</v>
      </c>
      <c r="D1175" s="49">
        <v>45812</v>
      </c>
      <c r="E1175" s="10">
        <v>64</v>
      </c>
    </row>
    <row r="1176" spans="2:5">
      <c r="B1176" s="48" t="s">
        <v>10</v>
      </c>
      <c r="C1176" s="48" t="s">
        <v>11</v>
      </c>
      <c r="D1176" s="49">
        <v>45812</v>
      </c>
      <c r="E1176" s="10">
        <v>38</v>
      </c>
    </row>
    <row r="1177" spans="2:5">
      <c r="B1177" s="48" t="s">
        <v>18</v>
      </c>
      <c r="C1177" s="48" t="s">
        <v>19</v>
      </c>
      <c r="D1177" s="49">
        <v>45812</v>
      </c>
      <c r="E1177" s="10">
        <v>29</v>
      </c>
    </row>
    <row r="1178" spans="2:5">
      <c r="B1178" s="48" t="s">
        <v>35</v>
      </c>
      <c r="C1178" s="48" t="s">
        <v>36</v>
      </c>
      <c r="D1178" s="49">
        <v>45812</v>
      </c>
      <c r="E1178" s="10">
        <v>22</v>
      </c>
    </row>
    <row r="1179" spans="2:5">
      <c r="B1179" s="48" t="s">
        <v>22</v>
      </c>
      <c r="C1179" s="48" t="s">
        <v>23</v>
      </c>
      <c r="D1179" s="49">
        <v>45812</v>
      </c>
      <c r="E1179" s="10">
        <v>12</v>
      </c>
    </row>
    <row r="1180" spans="2:5">
      <c r="B1180" s="48" t="s">
        <v>24</v>
      </c>
      <c r="C1180" s="48" t="s">
        <v>25</v>
      </c>
      <c r="D1180" s="49">
        <v>45812</v>
      </c>
      <c r="E1180" s="10">
        <v>11</v>
      </c>
    </row>
    <row r="1181" spans="2:5">
      <c r="B1181" s="48" t="s">
        <v>4</v>
      </c>
      <c r="C1181" s="48" t="s">
        <v>5</v>
      </c>
      <c r="D1181" s="49">
        <v>45813</v>
      </c>
      <c r="E1181" s="10">
        <v>343.6</v>
      </c>
    </row>
    <row r="1182" spans="2:5">
      <c r="B1182" s="48" t="s">
        <v>6</v>
      </c>
      <c r="C1182" s="48" t="s">
        <v>7</v>
      </c>
      <c r="D1182" s="49">
        <v>45813</v>
      </c>
      <c r="E1182" s="10">
        <v>114</v>
      </c>
    </row>
    <row r="1183" spans="2:5">
      <c r="B1183" s="48" t="s">
        <v>8</v>
      </c>
      <c r="C1183" s="48" t="s">
        <v>9</v>
      </c>
      <c r="D1183" s="49">
        <v>45813</v>
      </c>
      <c r="E1183" s="10">
        <v>93</v>
      </c>
    </row>
    <row r="1184" spans="2:5">
      <c r="B1184" s="48" t="s">
        <v>16</v>
      </c>
      <c r="C1184" s="48" t="s">
        <v>17</v>
      </c>
      <c r="D1184" s="49">
        <v>45813</v>
      </c>
      <c r="E1184" s="10">
        <v>68</v>
      </c>
    </row>
    <row r="1185" spans="2:5">
      <c r="B1185" s="48" t="s">
        <v>31</v>
      </c>
      <c r="C1185" s="48" t="s">
        <v>32</v>
      </c>
      <c r="D1185" s="49">
        <v>45813</v>
      </c>
      <c r="E1185" s="10">
        <v>55</v>
      </c>
    </row>
    <row r="1186" spans="2:5">
      <c r="B1186" s="48" t="s">
        <v>35</v>
      </c>
      <c r="C1186" s="48" t="s">
        <v>36</v>
      </c>
      <c r="D1186" s="49">
        <v>45813</v>
      </c>
      <c r="E1186" s="10">
        <v>53</v>
      </c>
    </row>
    <row r="1187" spans="2:5">
      <c r="B1187" s="48" t="s">
        <v>12</v>
      </c>
      <c r="C1187" s="48" t="s">
        <v>13</v>
      </c>
      <c r="D1187" s="49">
        <v>45813</v>
      </c>
      <c r="E1187" s="10">
        <v>43</v>
      </c>
    </row>
    <row r="1188" spans="2:5">
      <c r="B1188" s="48" t="s">
        <v>10</v>
      </c>
      <c r="C1188" s="48" t="s">
        <v>11</v>
      </c>
      <c r="D1188" s="49">
        <v>45813</v>
      </c>
      <c r="E1188" s="10">
        <v>26</v>
      </c>
    </row>
    <row r="1189" spans="2:5">
      <c r="B1189" s="48" t="s">
        <v>37</v>
      </c>
      <c r="C1189" s="48" t="s">
        <v>38</v>
      </c>
      <c r="D1189" s="49">
        <v>45813</v>
      </c>
      <c r="E1189" s="10">
        <v>17</v>
      </c>
    </row>
    <row r="1190" spans="2:5">
      <c r="B1190" s="48" t="s">
        <v>14</v>
      </c>
      <c r="C1190" s="48" t="s">
        <v>15</v>
      </c>
      <c r="D1190" s="49">
        <v>45813</v>
      </c>
      <c r="E1190" s="10">
        <v>16</v>
      </c>
    </row>
    <row r="1191" spans="2:5">
      <c r="B1191" s="48" t="s">
        <v>24</v>
      </c>
      <c r="C1191" s="48" t="s">
        <v>25</v>
      </c>
      <c r="D1191" s="49">
        <v>45813</v>
      </c>
      <c r="E1191" s="10">
        <v>2</v>
      </c>
    </row>
    <row r="1192" spans="2:5">
      <c r="B1192" s="48" t="s">
        <v>4</v>
      </c>
      <c r="C1192" s="48" t="s">
        <v>5</v>
      </c>
      <c r="D1192" s="49">
        <v>45814</v>
      </c>
      <c r="E1192" s="10">
        <v>133.7</v>
      </c>
    </row>
    <row r="1193" spans="2:5">
      <c r="B1193" s="48" t="s">
        <v>31</v>
      </c>
      <c r="C1193" s="48" t="s">
        <v>32</v>
      </c>
      <c r="D1193" s="49">
        <v>45814</v>
      </c>
      <c r="E1193" s="10">
        <v>96.25</v>
      </c>
    </row>
    <row r="1194" spans="2:5">
      <c r="B1194" s="48" t="s">
        <v>16</v>
      </c>
      <c r="C1194" s="48" t="s">
        <v>17</v>
      </c>
      <c r="D1194" s="49">
        <v>45814</v>
      </c>
      <c r="E1194" s="10">
        <v>66</v>
      </c>
    </row>
    <row r="1195" spans="2:5">
      <c r="B1195" s="48" t="s">
        <v>10</v>
      </c>
      <c r="C1195" s="48" t="s">
        <v>11</v>
      </c>
      <c r="D1195" s="49">
        <v>45814</v>
      </c>
      <c r="E1195" s="10">
        <v>51</v>
      </c>
    </row>
    <row r="1196" spans="2:5">
      <c r="B1196" s="48" t="s">
        <v>6</v>
      </c>
      <c r="C1196" s="48" t="s">
        <v>7</v>
      </c>
      <c r="D1196" s="49">
        <v>45814</v>
      </c>
      <c r="E1196" s="10">
        <v>51</v>
      </c>
    </row>
    <row r="1197" spans="2:5">
      <c r="B1197" s="48" t="s">
        <v>12</v>
      </c>
      <c r="C1197" s="48" t="s">
        <v>13</v>
      </c>
      <c r="D1197" s="49">
        <v>45814</v>
      </c>
      <c r="E1197" s="10">
        <v>40</v>
      </c>
    </row>
    <row r="1198" spans="2:5">
      <c r="B1198" s="48" t="s">
        <v>37</v>
      </c>
      <c r="C1198" s="48" t="s">
        <v>38</v>
      </c>
      <c r="D1198" s="49">
        <v>45814</v>
      </c>
      <c r="E1198" s="10">
        <v>16</v>
      </c>
    </row>
    <row r="1199" spans="2:5">
      <c r="B1199" s="48" t="s">
        <v>8</v>
      </c>
      <c r="C1199" s="48" t="s">
        <v>9</v>
      </c>
      <c r="D1199" s="49">
        <v>45814</v>
      </c>
      <c r="E1199" s="10">
        <v>14</v>
      </c>
    </row>
    <row r="1200" spans="2:5">
      <c r="B1200" s="48" t="s">
        <v>24</v>
      </c>
      <c r="C1200" s="48" t="s">
        <v>25</v>
      </c>
      <c r="D1200" s="49">
        <v>45814</v>
      </c>
      <c r="E1200" s="10">
        <v>13</v>
      </c>
    </row>
    <row r="1201" spans="2:5">
      <c r="B1201" s="48" t="s">
        <v>20</v>
      </c>
      <c r="C1201" s="48" t="s">
        <v>21</v>
      </c>
      <c r="D1201" s="49">
        <v>45814</v>
      </c>
      <c r="E1201" s="10">
        <v>10</v>
      </c>
    </row>
    <row r="1202" spans="2:5">
      <c r="B1202" s="48" t="s">
        <v>31</v>
      </c>
      <c r="C1202" s="48" t="s">
        <v>32</v>
      </c>
      <c r="D1202" s="49">
        <v>45817</v>
      </c>
      <c r="E1202" s="10">
        <v>563</v>
      </c>
    </row>
    <row r="1203" spans="2:5">
      <c r="B1203" s="48" t="s">
        <v>6</v>
      </c>
      <c r="C1203" s="48" t="s">
        <v>7</v>
      </c>
      <c r="D1203" s="49">
        <v>45817</v>
      </c>
      <c r="E1203" s="10">
        <v>77</v>
      </c>
    </row>
    <row r="1204" spans="2:5">
      <c r="B1204" s="48" t="s">
        <v>12</v>
      </c>
      <c r="C1204" s="48" t="s">
        <v>13</v>
      </c>
      <c r="D1204" s="49">
        <v>45817</v>
      </c>
      <c r="E1204" s="10">
        <v>41</v>
      </c>
    </row>
    <row r="1205" spans="2:5">
      <c r="B1205" s="48" t="s">
        <v>16</v>
      </c>
      <c r="C1205" s="48" t="s">
        <v>17</v>
      </c>
      <c r="D1205" s="49">
        <v>45817</v>
      </c>
      <c r="E1205" s="10">
        <v>36</v>
      </c>
    </row>
    <row r="1206" spans="2:5">
      <c r="B1206" s="48" t="s">
        <v>22</v>
      </c>
      <c r="C1206" s="48" t="s">
        <v>23</v>
      </c>
      <c r="D1206" s="49">
        <v>45817</v>
      </c>
      <c r="E1206" s="10">
        <v>24</v>
      </c>
    </row>
    <row r="1207" spans="2:5">
      <c r="B1207" s="48" t="s">
        <v>8</v>
      </c>
      <c r="C1207" s="48" t="s">
        <v>9</v>
      </c>
      <c r="D1207" s="49">
        <v>45817</v>
      </c>
      <c r="E1207" s="10">
        <v>16</v>
      </c>
    </row>
    <row r="1208" spans="2:5">
      <c r="B1208" s="48" t="s">
        <v>10</v>
      </c>
      <c r="C1208" s="48" t="s">
        <v>11</v>
      </c>
      <c r="D1208" s="49">
        <v>45817</v>
      </c>
      <c r="E1208" s="10">
        <v>15</v>
      </c>
    </row>
    <row r="1209" spans="2:5">
      <c r="B1209" s="48" t="s">
        <v>35</v>
      </c>
      <c r="C1209" s="48" t="s">
        <v>36</v>
      </c>
      <c r="D1209" s="49">
        <v>45817</v>
      </c>
      <c r="E1209" s="10">
        <v>12</v>
      </c>
    </row>
    <row r="1210" spans="2:5">
      <c r="B1210" s="48" t="s">
        <v>37</v>
      </c>
      <c r="C1210" s="48" t="s">
        <v>38</v>
      </c>
      <c r="D1210" s="49">
        <v>45817</v>
      </c>
      <c r="E1210" s="10">
        <v>2</v>
      </c>
    </row>
    <row r="1211" spans="2:5">
      <c r="B1211" s="48" t="s">
        <v>4</v>
      </c>
      <c r="C1211" s="48" t="s">
        <v>5</v>
      </c>
      <c r="D1211" s="49">
        <v>45818</v>
      </c>
      <c r="E1211" s="10">
        <v>576.65</v>
      </c>
    </row>
    <row r="1212" spans="2:5">
      <c r="B1212" s="48" t="s">
        <v>16</v>
      </c>
      <c r="C1212" s="48" t="s">
        <v>17</v>
      </c>
      <c r="D1212" s="49">
        <v>45818</v>
      </c>
      <c r="E1212" s="10">
        <v>318</v>
      </c>
    </row>
    <row r="1213" spans="2:5">
      <c r="B1213" s="48" t="s">
        <v>8</v>
      </c>
      <c r="C1213" s="48" t="s">
        <v>9</v>
      </c>
      <c r="D1213" s="49">
        <v>45818</v>
      </c>
      <c r="E1213" s="10">
        <v>55</v>
      </c>
    </row>
    <row r="1214" spans="2:5">
      <c r="B1214" s="48" t="s">
        <v>12</v>
      </c>
      <c r="C1214" s="48" t="s">
        <v>13</v>
      </c>
      <c r="D1214" s="49">
        <v>45818</v>
      </c>
      <c r="E1214" s="10">
        <v>47</v>
      </c>
    </row>
    <row r="1215" spans="2:5">
      <c r="B1215" s="48" t="s">
        <v>6</v>
      </c>
      <c r="C1215" s="48" t="s">
        <v>7</v>
      </c>
      <c r="D1215" s="49">
        <v>45818</v>
      </c>
      <c r="E1215" s="10">
        <v>30</v>
      </c>
    </row>
    <row r="1216" spans="2:5">
      <c r="B1216" s="48" t="s">
        <v>33</v>
      </c>
      <c r="C1216" s="48" t="s">
        <v>34</v>
      </c>
      <c r="D1216" s="49">
        <v>45818</v>
      </c>
      <c r="E1216" s="10">
        <v>21</v>
      </c>
    </row>
    <row r="1217" spans="2:5">
      <c r="B1217" s="48" t="s">
        <v>10</v>
      </c>
      <c r="C1217" s="48" t="s">
        <v>11</v>
      </c>
      <c r="D1217" s="49">
        <v>45818</v>
      </c>
      <c r="E1217" s="10">
        <v>20</v>
      </c>
    </row>
    <row r="1218" spans="2:5">
      <c r="B1218" s="48" t="s">
        <v>24</v>
      </c>
      <c r="C1218" s="48" t="s">
        <v>25</v>
      </c>
      <c r="D1218" s="49">
        <v>45818</v>
      </c>
      <c r="E1218" s="10">
        <v>17</v>
      </c>
    </row>
    <row r="1219" spans="2:5">
      <c r="B1219" s="48" t="s">
        <v>35</v>
      </c>
      <c r="C1219" s="48" t="s">
        <v>36</v>
      </c>
      <c r="D1219" s="49">
        <v>45818</v>
      </c>
      <c r="E1219" s="10">
        <v>14</v>
      </c>
    </row>
    <row r="1220" spans="2:5">
      <c r="B1220" s="48" t="s">
        <v>14</v>
      </c>
      <c r="C1220" s="48" t="s">
        <v>15</v>
      </c>
      <c r="D1220" s="49">
        <v>45818</v>
      </c>
      <c r="E1220" s="10">
        <v>14</v>
      </c>
    </row>
    <row r="1221" spans="2:5">
      <c r="B1221" s="48" t="s">
        <v>37</v>
      </c>
      <c r="C1221" s="48" t="s">
        <v>38</v>
      </c>
      <c r="D1221" s="49">
        <v>45818</v>
      </c>
      <c r="E1221" s="10">
        <v>9</v>
      </c>
    </row>
    <row r="1222" spans="2:5">
      <c r="B1222" s="48" t="s">
        <v>4</v>
      </c>
      <c r="C1222" s="48" t="s">
        <v>5</v>
      </c>
      <c r="D1222" s="49">
        <v>45819</v>
      </c>
      <c r="E1222" s="10">
        <v>455</v>
      </c>
    </row>
    <row r="1223" spans="2:5">
      <c r="B1223" s="48" t="s">
        <v>12</v>
      </c>
      <c r="C1223" s="48" t="s">
        <v>13</v>
      </c>
      <c r="D1223" s="49">
        <v>45819</v>
      </c>
      <c r="E1223" s="10">
        <v>109</v>
      </c>
    </row>
    <row r="1224" spans="2:5">
      <c r="B1224" s="48" t="s">
        <v>6</v>
      </c>
      <c r="C1224" s="48" t="s">
        <v>7</v>
      </c>
      <c r="D1224" s="49">
        <v>45819</v>
      </c>
      <c r="E1224" s="10">
        <v>82</v>
      </c>
    </row>
    <row r="1225" spans="2:5">
      <c r="B1225" s="48" t="s">
        <v>16</v>
      </c>
      <c r="C1225" s="48" t="s">
        <v>17</v>
      </c>
      <c r="D1225" s="49">
        <v>45819</v>
      </c>
      <c r="E1225" s="10">
        <v>77</v>
      </c>
    </row>
    <row r="1226" spans="2:5">
      <c r="B1226" s="48" t="s">
        <v>8</v>
      </c>
      <c r="C1226" s="48" t="s">
        <v>9</v>
      </c>
      <c r="D1226" s="49">
        <v>45819</v>
      </c>
      <c r="E1226" s="10">
        <v>57</v>
      </c>
    </row>
    <row r="1227" spans="2:5">
      <c r="B1227" s="48" t="s">
        <v>24</v>
      </c>
      <c r="C1227" s="48" t="s">
        <v>25</v>
      </c>
      <c r="D1227" s="49">
        <v>45819</v>
      </c>
      <c r="E1227" s="10">
        <v>32</v>
      </c>
    </row>
    <row r="1228" spans="2:5">
      <c r="B1228" s="48" t="s">
        <v>10</v>
      </c>
      <c r="C1228" s="48" t="s">
        <v>11</v>
      </c>
      <c r="D1228" s="49">
        <v>45819</v>
      </c>
      <c r="E1228" s="10">
        <v>24</v>
      </c>
    </row>
    <row r="1229" spans="2:5">
      <c r="B1229" s="48" t="s">
        <v>20</v>
      </c>
      <c r="C1229" s="48" t="s">
        <v>21</v>
      </c>
      <c r="D1229" s="49">
        <v>45819</v>
      </c>
      <c r="E1229" s="10">
        <v>24</v>
      </c>
    </row>
    <row r="1230" spans="2:5">
      <c r="B1230" s="48" t="s">
        <v>37</v>
      </c>
      <c r="C1230" s="48" t="s">
        <v>38</v>
      </c>
      <c r="D1230" s="49">
        <v>45819</v>
      </c>
      <c r="E1230" s="10">
        <v>20</v>
      </c>
    </row>
    <row r="1231" spans="2:5">
      <c r="B1231" s="48" t="s">
        <v>18</v>
      </c>
      <c r="C1231" s="48" t="s">
        <v>19</v>
      </c>
      <c r="D1231" s="49">
        <v>45819</v>
      </c>
      <c r="E1231" s="10">
        <v>8</v>
      </c>
    </row>
    <row r="1232" spans="2:5">
      <c r="B1232" s="48" t="s">
        <v>4</v>
      </c>
      <c r="C1232" s="48" t="s">
        <v>5</v>
      </c>
      <c r="D1232" s="49">
        <v>45820</v>
      </c>
      <c r="E1232" s="10">
        <v>151</v>
      </c>
    </row>
    <row r="1233" spans="2:5">
      <c r="B1233" s="48" t="s">
        <v>31</v>
      </c>
      <c r="C1233" s="48" t="s">
        <v>32</v>
      </c>
      <c r="D1233" s="49">
        <v>45820</v>
      </c>
      <c r="E1233" s="10">
        <v>127</v>
      </c>
    </row>
    <row r="1234" spans="2:5">
      <c r="B1234" s="48" t="s">
        <v>16</v>
      </c>
      <c r="C1234" s="48" t="s">
        <v>17</v>
      </c>
      <c r="D1234" s="49">
        <v>45820</v>
      </c>
      <c r="E1234" s="10">
        <v>59</v>
      </c>
    </row>
    <row r="1235" spans="2:5">
      <c r="B1235" s="48" t="s">
        <v>8</v>
      </c>
      <c r="C1235" s="48" t="s">
        <v>9</v>
      </c>
      <c r="D1235" s="49">
        <v>45820</v>
      </c>
      <c r="E1235" s="10">
        <v>51</v>
      </c>
    </row>
    <row r="1236" spans="2:5">
      <c r="B1236" s="48" t="s">
        <v>10</v>
      </c>
      <c r="C1236" s="48" t="s">
        <v>11</v>
      </c>
      <c r="D1236" s="49">
        <v>45820</v>
      </c>
      <c r="E1236" s="10">
        <v>38</v>
      </c>
    </row>
    <row r="1237" spans="2:5">
      <c r="B1237" s="48" t="s">
        <v>6</v>
      </c>
      <c r="C1237" s="48" t="s">
        <v>7</v>
      </c>
      <c r="D1237" s="49">
        <v>45820</v>
      </c>
      <c r="E1237" s="10">
        <v>26</v>
      </c>
    </row>
    <row r="1238" spans="2:5">
      <c r="B1238" s="48" t="s">
        <v>24</v>
      </c>
      <c r="C1238" s="48" t="s">
        <v>25</v>
      </c>
      <c r="D1238" s="49">
        <v>45820</v>
      </c>
      <c r="E1238" s="10">
        <v>24</v>
      </c>
    </row>
    <row r="1239" spans="2:5">
      <c r="B1239" s="48" t="s">
        <v>12</v>
      </c>
      <c r="C1239" s="48" t="s">
        <v>13</v>
      </c>
      <c r="D1239" s="49">
        <v>45820</v>
      </c>
      <c r="E1239" s="10">
        <v>20</v>
      </c>
    </row>
    <row r="1240" spans="2:5">
      <c r="B1240" s="48" t="s">
        <v>33</v>
      </c>
      <c r="C1240" s="48" t="s">
        <v>34</v>
      </c>
      <c r="D1240" s="49">
        <v>45820</v>
      </c>
      <c r="E1240" s="10">
        <v>12</v>
      </c>
    </row>
    <row r="1241" spans="2:5">
      <c r="B1241" s="48" t="s">
        <v>20</v>
      </c>
      <c r="C1241" s="48" t="s">
        <v>21</v>
      </c>
      <c r="D1241" s="49">
        <v>45820</v>
      </c>
      <c r="E1241" s="10">
        <v>8</v>
      </c>
    </row>
    <row r="1242" spans="2:5">
      <c r="B1242" s="48" t="s">
        <v>4</v>
      </c>
      <c r="C1242" s="48" t="s">
        <v>5</v>
      </c>
      <c r="D1242" s="49">
        <v>45821</v>
      </c>
      <c r="E1242" s="10">
        <v>583.95</v>
      </c>
    </row>
    <row r="1243" spans="2:5">
      <c r="B1243" s="48" t="s">
        <v>8</v>
      </c>
      <c r="C1243" s="48" t="s">
        <v>9</v>
      </c>
      <c r="D1243" s="49">
        <v>45821</v>
      </c>
      <c r="E1243" s="10">
        <v>407</v>
      </c>
    </row>
    <row r="1244" spans="2:5">
      <c r="B1244" s="48" t="s">
        <v>31</v>
      </c>
      <c r="C1244" s="48" t="s">
        <v>32</v>
      </c>
      <c r="D1244" s="49">
        <v>45821</v>
      </c>
      <c r="E1244" s="10">
        <v>393.6</v>
      </c>
    </row>
    <row r="1245" spans="2:5">
      <c r="B1245" s="48" t="s">
        <v>12</v>
      </c>
      <c r="C1245" s="48" t="s">
        <v>13</v>
      </c>
      <c r="D1245" s="49">
        <v>45821</v>
      </c>
      <c r="E1245" s="10">
        <v>150</v>
      </c>
    </row>
    <row r="1246" spans="2:5">
      <c r="B1246" s="48" t="s">
        <v>37</v>
      </c>
      <c r="C1246" s="48" t="s">
        <v>38</v>
      </c>
      <c r="D1246" s="49">
        <v>45821</v>
      </c>
      <c r="E1246" s="10">
        <v>54</v>
      </c>
    </row>
    <row r="1247" spans="2:5">
      <c r="B1247" s="48" t="s">
        <v>16</v>
      </c>
      <c r="C1247" s="48" t="s">
        <v>17</v>
      </c>
      <c r="D1247" s="49">
        <v>45821</v>
      </c>
      <c r="E1247" s="10">
        <v>53</v>
      </c>
    </row>
    <row r="1248" spans="2:5">
      <c r="B1248" s="48" t="s">
        <v>20</v>
      </c>
      <c r="C1248" s="48" t="s">
        <v>21</v>
      </c>
      <c r="D1248" s="49">
        <v>45821</v>
      </c>
      <c r="E1248" s="10">
        <v>44</v>
      </c>
    </row>
    <row r="1249" spans="2:5">
      <c r="B1249" s="48" t="s">
        <v>6</v>
      </c>
      <c r="C1249" s="48" t="s">
        <v>7</v>
      </c>
      <c r="D1249" s="49">
        <v>45821</v>
      </c>
      <c r="E1249" s="10">
        <v>38</v>
      </c>
    </row>
    <row r="1250" spans="2:5">
      <c r="B1250" s="48" t="s">
        <v>24</v>
      </c>
      <c r="C1250" s="48" t="s">
        <v>25</v>
      </c>
      <c r="D1250" s="49">
        <v>45821</v>
      </c>
      <c r="E1250" s="10">
        <v>36</v>
      </c>
    </row>
    <row r="1251" spans="2:5">
      <c r="B1251" s="48" t="s">
        <v>35</v>
      </c>
      <c r="C1251" s="48" t="s">
        <v>36</v>
      </c>
      <c r="D1251" s="49">
        <v>45821</v>
      </c>
      <c r="E1251" s="10">
        <v>20</v>
      </c>
    </row>
    <row r="1252" spans="2:5">
      <c r="B1252" s="48" t="s">
        <v>22</v>
      </c>
      <c r="C1252" s="48" t="s">
        <v>23</v>
      </c>
      <c r="D1252" s="49">
        <v>45821</v>
      </c>
      <c r="E1252" s="10">
        <v>20</v>
      </c>
    </row>
    <row r="1253" spans="2:5">
      <c r="B1253" s="48" t="s">
        <v>10</v>
      </c>
      <c r="C1253" s="48" t="s">
        <v>11</v>
      </c>
      <c r="D1253" s="49">
        <v>45821</v>
      </c>
      <c r="E1253" s="10">
        <v>12</v>
      </c>
    </row>
    <row r="1254" spans="2:5">
      <c r="B1254" s="48" t="s">
        <v>18</v>
      </c>
      <c r="C1254" s="48" t="s">
        <v>19</v>
      </c>
      <c r="D1254" s="49">
        <v>45821</v>
      </c>
      <c r="E1254" s="10">
        <v>2</v>
      </c>
    </row>
    <row r="1255" spans="2:5">
      <c r="B1255" s="48" t="s">
        <v>8</v>
      </c>
      <c r="C1255" s="48" t="s">
        <v>9</v>
      </c>
      <c r="D1255" s="49">
        <v>45824</v>
      </c>
      <c r="E1255" s="10">
        <v>116</v>
      </c>
    </row>
    <row r="1256" spans="2:5">
      <c r="B1256" s="48" t="s">
        <v>4</v>
      </c>
      <c r="C1256" s="48" t="s">
        <v>5</v>
      </c>
      <c r="D1256" s="49">
        <v>45824</v>
      </c>
      <c r="E1256" s="10">
        <v>72.9</v>
      </c>
    </row>
    <row r="1257" spans="2:5">
      <c r="B1257" s="48" t="s">
        <v>12</v>
      </c>
      <c r="C1257" s="48" t="s">
        <v>13</v>
      </c>
      <c r="D1257" s="49">
        <v>45824</v>
      </c>
      <c r="E1257" s="10">
        <v>68</v>
      </c>
    </row>
    <row r="1258" spans="2:5">
      <c r="B1258" s="48" t="s">
        <v>6</v>
      </c>
      <c r="C1258" s="48" t="s">
        <v>7</v>
      </c>
      <c r="D1258" s="49">
        <v>45824</v>
      </c>
      <c r="E1258" s="10">
        <v>55</v>
      </c>
    </row>
    <row r="1259" spans="2:5">
      <c r="B1259" s="48" t="s">
        <v>16</v>
      </c>
      <c r="C1259" s="48" t="s">
        <v>17</v>
      </c>
      <c r="D1259" s="49">
        <v>45824</v>
      </c>
      <c r="E1259" s="10">
        <v>23</v>
      </c>
    </row>
    <row r="1260" spans="2:5">
      <c r="B1260" s="48" t="s">
        <v>10</v>
      </c>
      <c r="C1260" s="48" t="s">
        <v>11</v>
      </c>
      <c r="D1260" s="49">
        <v>45824</v>
      </c>
      <c r="E1260" s="10">
        <v>22</v>
      </c>
    </row>
    <row r="1261" spans="2:5">
      <c r="B1261" s="48" t="s">
        <v>24</v>
      </c>
      <c r="C1261" s="48" t="s">
        <v>25</v>
      </c>
      <c r="D1261" s="49">
        <v>45824</v>
      </c>
      <c r="E1261" s="10">
        <v>12</v>
      </c>
    </row>
    <row r="1262" spans="2:5">
      <c r="B1262" s="48" t="s">
        <v>22</v>
      </c>
      <c r="C1262" s="48" t="s">
        <v>23</v>
      </c>
      <c r="D1262" s="49">
        <v>45824</v>
      </c>
      <c r="E1262" s="10">
        <v>10</v>
      </c>
    </row>
    <row r="1263" spans="2:5">
      <c r="B1263" s="48" t="s">
        <v>18</v>
      </c>
      <c r="C1263" s="48" t="s">
        <v>19</v>
      </c>
      <c r="D1263" s="49">
        <v>45824</v>
      </c>
      <c r="E1263" s="10">
        <v>5</v>
      </c>
    </row>
    <row r="1264" spans="2:5">
      <c r="B1264" s="48" t="s">
        <v>4</v>
      </c>
      <c r="C1264" s="48" t="s">
        <v>5</v>
      </c>
      <c r="D1264" s="49">
        <v>45825</v>
      </c>
      <c r="E1264" s="10">
        <v>826.2</v>
      </c>
    </row>
    <row r="1265" spans="2:5">
      <c r="B1265" s="48" t="s">
        <v>8</v>
      </c>
      <c r="C1265" s="48" t="s">
        <v>9</v>
      </c>
      <c r="D1265" s="49">
        <v>45825</v>
      </c>
      <c r="E1265" s="10">
        <v>173</v>
      </c>
    </row>
    <row r="1266" spans="2:5">
      <c r="B1266" s="48" t="s">
        <v>35</v>
      </c>
      <c r="C1266" s="48" t="s">
        <v>36</v>
      </c>
      <c r="D1266" s="49">
        <v>45825</v>
      </c>
      <c r="E1266" s="10">
        <v>163</v>
      </c>
    </row>
    <row r="1267" spans="2:5">
      <c r="B1267" s="48" t="s">
        <v>16</v>
      </c>
      <c r="C1267" s="48" t="s">
        <v>17</v>
      </c>
      <c r="D1267" s="49">
        <v>45825</v>
      </c>
      <c r="E1267" s="10">
        <v>70</v>
      </c>
    </row>
    <row r="1268" spans="2:5">
      <c r="B1268" s="48" t="s">
        <v>12</v>
      </c>
      <c r="C1268" s="48" t="s">
        <v>13</v>
      </c>
      <c r="D1268" s="49">
        <v>45825</v>
      </c>
      <c r="E1268" s="10">
        <v>30</v>
      </c>
    </row>
    <row r="1269" spans="2:5">
      <c r="B1269" s="48" t="s">
        <v>14</v>
      </c>
      <c r="C1269" s="48" t="s">
        <v>15</v>
      </c>
      <c r="D1269" s="49">
        <v>45825</v>
      </c>
      <c r="E1269" s="10">
        <v>20</v>
      </c>
    </row>
    <row r="1270" spans="2:5">
      <c r="B1270" s="48" t="s">
        <v>6</v>
      </c>
      <c r="C1270" s="48" t="s">
        <v>7</v>
      </c>
      <c r="D1270" s="49">
        <v>45825</v>
      </c>
      <c r="E1270" s="10">
        <v>17</v>
      </c>
    </row>
    <row r="1271" spans="2:5">
      <c r="B1271" s="48" t="s">
        <v>33</v>
      </c>
      <c r="C1271" s="48" t="s">
        <v>34</v>
      </c>
      <c r="D1271" s="49">
        <v>45825</v>
      </c>
      <c r="E1271" s="10">
        <v>14</v>
      </c>
    </row>
    <row r="1272" spans="2:5">
      <c r="B1272" s="48" t="s">
        <v>10</v>
      </c>
      <c r="C1272" s="48" t="s">
        <v>11</v>
      </c>
      <c r="D1272" s="49">
        <v>45825</v>
      </c>
      <c r="E1272" s="10">
        <v>14</v>
      </c>
    </row>
    <row r="1273" spans="2:5">
      <c r="B1273" s="48" t="s">
        <v>37</v>
      </c>
      <c r="C1273" s="48" t="s">
        <v>38</v>
      </c>
      <c r="D1273" s="49">
        <v>45825</v>
      </c>
      <c r="E1273" s="10">
        <v>11</v>
      </c>
    </row>
    <row r="1274" spans="2:5">
      <c r="B1274" s="48" t="s">
        <v>24</v>
      </c>
      <c r="C1274" s="48" t="s">
        <v>25</v>
      </c>
      <c r="D1274" s="49">
        <v>45825</v>
      </c>
      <c r="E1274" s="10">
        <v>10</v>
      </c>
    </row>
    <row r="1275" spans="2:5">
      <c r="B1275" s="48" t="s">
        <v>20</v>
      </c>
      <c r="C1275" s="48" t="s">
        <v>21</v>
      </c>
      <c r="D1275" s="49">
        <v>45825</v>
      </c>
      <c r="E1275" s="10">
        <v>1</v>
      </c>
    </row>
    <row r="1276" spans="2:5">
      <c r="B1276" s="48" t="s">
        <v>18</v>
      </c>
      <c r="C1276" s="48" t="s">
        <v>19</v>
      </c>
      <c r="D1276" s="49">
        <v>45825</v>
      </c>
      <c r="E1276" s="10">
        <v>1</v>
      </c>
    </row>
    <row r="1277" spans="2:5">
      <c r="B1277" s="48" t="s">
        <v>4</v>
      </c>
      <c r="C1277" s="48" t="s">
        <v>5</v>
      </c>
      <c r="D1277" s="49">
        <v>45826</v>
      </c>
      <c r="E1277" s="10">
        <v>383</v>
      </c>
    </row>
    <row r="1278" spans="2:5">
      <c r="B1278" s="48" t="s">
        <v>8</v>
      </c>
      <c r="C1278" s="48" t="s">
        <v>9</v>
      </c>
      <c r="D1278" s="49">
        <v>45826</v>
      </c>
      <c r="E1278" s="10">
        <v>101</v>
      </c>
    </row>
    <row r="1279" spans="2:5">
      <c r="B1279" s="48" t="s">
        <v>6</v>
      </c>
      <c r="C1279" s="48" t="s">
        <v>7</v>
      </c>
      <c r="D1279" s="49">
        <v>45826</v>
      </c>
      <c r="E1279" s="10">
        <v>75</v>
      </c>
    </row>
    <row r="1280" spans="2:5">
      <c r="B1280" s="48" t="s">
        <v>24</v>
      </c>
      <c r="C1280" s="48" t="s">
        <v>25</v>
      </c>
      <c r="D1280" s="49">
        <v>45826</v>
      </c>
      <c r="E1280" s="10">
        <v>46</v>
      </c>
    </row>
    <row r="1281" spans="2:5">
      <c r="B1281" s="48" t="s">
        <v>10</v>
      </c>
      <c r="C1281" s="48" t="s">
        <v>11</v>
      </c>
      <c r="D1281" s="49">
        <v>45826</v>
      </c>
      <c r="E1281" s="10">
        <v>40</v>
      </c>
    </row>
    <row r="1282" spans="2:5">
      <c r="B1282" s="48" t="s">
        <v>12</v>
      </c>
      <c r="C1282" s="48" t="s">
        <v>13</v>
      </c>
      <c r="D1282" s="49">
        <v>45826</v>
      </c>
      <c r="E1282" s="10">
        <v>32</v>
      </c>
    </row>
    <row r="1283" spans="2:5">
      <c r="B1283" s="48" t="s">
        <v>35</v>
      </c>
      <c r="C1283" s="48" t="s">
        <v>36</v>
      </c>
      <c r="D1283" s="49">
        <v>45826</v>
      </c>
      <c r="E1283" s="10">
        <v>31</v>
      </c>
    </row>
    <row r="1284" spans="2:5">
      <c r="B1284" s="48" t="s">
        <v>16</v>
      </c>
      <c r="C1284" s="48" t="s">
        <v>17</v>
      </c>
      <c r="D1284" s="49">
        <v>45826</v>
      </c>
      <c r="E1284" s="10">
        <v>18</v>
      </c>
    </row>
    <row r="1285" spans="2:5">
      <c r="B1285" s="48" t="s">
        <v>37</v>
      </c>
      <c r="C1285" s="48" t="s">
        <v>38</v>
      </c>
      <c r="D1285" s="49">
        <v>45826</v>
      </c>
      <c r="E1285" s="10">
        <v>15</v>
      </c>
    </row>
    <row r="1286" spans="2:5">
      <c r="B1286" s="48" t="s">
        <v>33</v>
      </c>
      <c r="C1286" s="48" t="s">
        <v>34</v>
      </c>
      <c r="D1286" s="49">
        <v>45826</v>
      </c>
      <c r="E1286" s="10">
        <v>14</v>
      </c>
    </row>
    <row r="1287" spans="2:5">
      <c r="B1287" s="48" t="s">
        <v>4</v>
      </c>
      <c r="C1287" s="48" t="s">
        <v>5</v>
      </c>
      <c r="D1287" s="49">
        <v>45828</v>
      </c>
      <c r="E1287" s="10">
        <v>620</v>
      </c>
    </row>
    <row r="1288" spans="2:5">
      <c r="B1288" s="48" t="s">
        <v>8</v>
      </c>
      <c r="C1288" s="48" t="s">
        <v>9</v>
      </c>
      <c r="D1288" s="49">
        <v>45828</v>
      </c>
      <c r="E1288" s="10">
        <v>74</v>
      </c>
    </row>
    <row r="1289" spans="2:5">
      <c r="B1289" s="48" t="s">
        <v>6</v>
      </c>
      <c r="C1289" s="48" t="s">
        <v>7</v>
      </c>
      <c r="D1289" s="49">
        <v>45828</v>
      </c>
      <c r="E1289" s="10">
        <v>57</v>
      </c>
    </row>
    <row r="1290" spans="2:5">
      <c r="B1290" s="48" t="s">
        <v>16</v>
      </c>
      <c r="C1290" s="48" t="s">
        <v>17</v>
      </c>
      <c r="D1290" s="49">
        <v>45828</v>
      </c>
      <c r="E1290" s="10">
        <v>28</v>
      </c>
    </row>
    <row r="1291" spans="2:5">
      <c r="B1291" s="48" t="s">
        <v>18</v>
      </c>
      <c r="C1291" s="48" t="s">
        <v>19</v>
      </c>
      <c r="D1291" s="49">
        <v>45828</v>
      </c>
      <c r="E1291" s="10">
        <v>21</v>
      </c>
    </row>
    <row r="1292" spans="2:5">
      <c r="B1292" s="48" t="s">
        <v>12</v>
      </c>
      <c r="C1292" s="48" t="s">
        <v>13</v>
      </c>
      <c r="D1292" s="49">
        <v>45828</v>
      </c>
      <c r="E1292" s="10">
        <v>19</v>
      </c>
    </row>
    <row r="1293" spans="2:5">
      <c r="B1293" s="48" t="s">
        <v>20</v>
      </c>
      <c r="C1293" s="48" t="s">
        <v>21</v>
      </c>
      <c r="D1293" s="49">
        <v>45828</v>
      </c>
      <c r="E1293" s="10">
        <v>8</v>
      </c>
    </row>
    <row r="1294" spans="2:5">
      <c r="B1294" s="48" t="s">
        <v>35</v>
      </c>
      <c r="C1294" s="48" t="s">
        <v>36</v>
      </c>
      <c r="D1294" s="49">
        <v>45828</v>
      </c>
      <c r="E1294" s="10">
        <v>6</v>
      </c>
    </row>
    <row r="1295" spans="2:5">
      <c r="B1295" s="48" t="s">
        <v>22</v>
      </c>
      <c r="C1295" s="48" t="s">
        <v>23</v>
      </c>
      <c r="D1295" s="49">
        <v>45828</v>
      </c>
      <c r="E1295" s="10">
        <v>5</v>
      </c>
    </row>
    <row r="1296" spans="2:5">
      <c r="B1296" s="48" t="s">
        <v>10</v>
      </c>
      <c r="C1296" s="48" t="s">
        <v>11</v>
      </c>
      <c r="D1296" s="49">
        <v>45828</v>
      </c>
      <c r="E1296" s="10">
        <v>4</v>
      </c>
    </row>
    <row r="1297" spans="2:5">
      <c r="B1297" s="48" t="s">
        <v>14</v>
      </c>
      <c r="C1297" s="48" t="s">
        <v>15</v>
      </c>
      <c r="D1297" s="49">
        <v>45828</v>
      </c>
      <c r="E1297" s="10">
        <v>3</v>
      </c>
    </row>
    <row r="1298" spans="2:5">
      <c r="B1298" s="48" t="s">
        <v>37</v>
      </c>
      <c r="C1298" s="48" t="s">
        <v>38</v>
      </c>
      <c r="D1298" s="49">
        <v>45828</v>
      </c>
      <c r="E1298" s="10">
        <v>2</v>
      </c>
    </row>
    <row r="1299" spans="2:5">
      <c r="B1299" s="48" t="s">
        <v>31</v>
      </c>
      <c r="C1299" s="48" t="s">
        <v>32</v>
      </c>
      <c r="D1299" s="49">
        <v>45831</v>
      </c>
      <c r="E1299" s="10">
        <v>1252.3</v>
      </c>
    </row>
    <row r="1300" spans="2:5">
      <c r="B1300" s="48" t="s">
        <v>12</v>
      </c>
      <c r="C1300" s="48" t="s">
        <v>13</v>
      </c>
      <c r="D1300" s="49">
        <v>45831</v>
      </c>
      <c r="E1300" s="10">
        <v>43</v>
      </c>
    </row>
    <row r="1301" spans="2:5">
      <c r="B1301" s="48" t="s">
        <v>18</v>
      </c>
      <c r="C1301" s="48" t="s">
        <v>19</v>
      </c>
      <c r="D1301" s="49">
        <v>45831</v>
      </c>
      <c r="E1301" s="10">
        <v>22</v>
      </c>
    </row>
    <row r="1302" spans="2:5">
      <c r="B1302" s="48" t="s">
        <v>16</v>
      </c>
      <c r="C1302" s="48" t="s">
        <v>17</v>
      </c>
      <c r="D1302" s="49">
        <v>45831</v>
      </c>
      <c r="E1302" s="10">
        <v>21</v>
      </c>
    </row>
    <row r="1303" spans="2:5">
      <c r="B1303" s="48" t="s">
        <v>10</v>
      </c>
      <c r="C1303" s="48" t="s">
        <v>11</v>
      </c>
      <c r="D1303" s="49">
        <v>45831</v>
      </c>
      <c r="E1303" s="10">
        <v>19</v>
      </c>
    </row>
    <row r="1304" spans="2:5">
      <c r="B1304" s="48" t="s">
        <v>8</v>
      </c>
      <c r="C1304" s="48" t="s">
        <v>9</v>
      </c>
      <c r="D1304" s="49">
        <v>45831</v>
      </c>
      <c r="E1304" s="10">
        <v>15</v>
      </c>
    </row>
    <row r="1305" spans="2:5">
      <c r="B1305" s="48" t="s">
        <v>35</v>
      </c>
      <c r="C1305" s="48" t="s">
        <v>36</v>
      </c>
      <c r="D1305" s="49">
        <v>45831</v>
      </c>
      <c r="E1305" s="10">
        <v>12</v>
      </c>
    </row>
    <row r="1306" spans="2:5">
      <c r="B1306" s="48" t="s">
        <v>20</v>
      </c>
      <c r="C1306" s="48" t="s">
        <v>21</v>
      </c>
      <c r="D1306" s="49">
        <v>45831</v>
      </c>
      <c r="E1306" s="10">
        <v>12</v>
      </c>
    </row>
    <row r="1307" spans="2:5">
      <c r="B1307" s="48" t="s">
        <v>24</v>
      </c>
      <c r="C1307" s="48" t="s">
        <v>25</v>
      </c>
      <c r="D1307" s="49">
        <v>45831</v>
      </c>
      <c r="E1307" s="10">
        <v>12</v>
      </c>
    </row>
    <row r="1308" spans="2:5">
      <c r="B1308" s="48" t="s">
        <v>14</v>
      </c>
      <c r="C1308" s="48" t="s">
        <v>15</v>
      </c>
      <c r="D1308" s="49">
        <v>45831</v>
      </c>
      <c r="E1308" s="10">
        <v>12</v>
      </c>
    </row>
    <row r="1309" spans="2:5">
      <c r="B1309" s="48" t="s">
        <v>6</v>
      </c>
      <c r="C1309" s="48" t="s">
        <v>7</v>
      </c>
      <c r="D1309" s="49">
        <v>45831</v>
      </c>
      <c r="E1309" s="10">
        <v>4</v>
      </c>
    </row>
    <row r="1310" spans="2:5">
      <c r="B1310" s="48" t="s">
        <v>31</v>
      </c>
      <c r="C1310" s="48" t="s">
        <v>32</v>
      </c>
      <c r="D1310" s="49">
        <v>45832</v>
      </c>
      <c r="E1310" s="10">
        <v>842</v>
      </c>
    </row>
    <row r="1311" spans="2:5">
      <c r="B1311" s="48" t="s">
        <v>4</v>
      </c>
      <c r="C1311" s="48" t="s">
        <v>5</v>
      </c>
      <c r="D1311" s="49">
        <v>45832</v>
      </c>
      <c r="E1311" s="10">
        <v>291</v>
      </c>
    </row>
    <row r="1312" spans="2:5">
      <c r="B1312" s="48" t="s">
        <v>8</v>
      </c>
      <c r="C1312" s="48" t="s">
        <v>9</v>
      </c>
      <c r="D1312" s="49">
        <v>45832</v>
      </c>
      <c r="E1312" s="10">
        <v>227</v>
      </c>
    </row>
    <row r="1313" spans="2:5">
      <c r="B1313" s="48" t="s">
        <v>12</v>
      </c>
      <c r="C1313" s="48" t="s">
        <v>13</v>
      </c>
      <c r="D1313" s="49">
        <v>45832</v>
      </c>
      <c r="E1313" s="10">
        <v>103</v>
      </c>
    </row>
    <row r="1314" spans="2:5">
      <c r="B1314" s="48" t="s">
        <v>16</v>
      </c>
      <c r="C1314" s="48" t="s">
        <v>17</v>
      </c>
      <c r="D1314" s="49">
        <v>45832</v>
      </c>
      <c r="E1314" s="10">
        <v>82</v>
      </c>
    </row>
    <row r="1315" spans="2:5">
      <c r="B1315" s="48" t="s">
        <v>6</v>
      </c>
      <c r="C1315" s="48" t="s">
        <v>7</v>
      </c>
      <c r="D1315" s="49">
        <v>45832</v>
      </c>
      <c r="E1315" s="10">
        <v>56</v>
      </c>
    </row>
    <row r="1316" spans="2:5">
      <c r="B1316" s="48" t="s">
        <v>10</v>
      </c>
      <c r="C1316" s="48" t="s">
        <v>11</v>
      </c>
      <c r="D1316" s="49">
        <v>45832</v>
      </c>
      <c r="E1316" s="10">
        <v>43</v>
      </c>
    </row>
    <row r="1317" spans="2:5">
      <c r="B1317" s="48" t="s">
        <v>35</v>
      </c>
      <c r="C1317" s="48" t="s">
        <v>36</v>
      </c>
      <c r="D1317" s="49">
        <v>45832</v>
      </c>
      <c r="E1317" s="10">
        <v>30</v>
      </c>
    </row>
    <row r="1318" spans="2:5">
      <c r="B1318" s="48" t="s">
        <v>18</v>
      </c>
      <c r="C1318" s="48" t="s">
        <v>19</v>
      </c>
      <c r="D1318" s="49">
        <v>45832</v>
      </c>
      <c r="E1318" s="10">
        <v>7</v>
      </c>
    </row>
    <row r="1319" spans="2:5">
      <c r="B1319" s="48" t="s">
        <v>8</v>
      </c>
      <c r="C1319" s="48" t="s">
        <v>9</v>
      </c>
      <c r="D1319" s="49">
        <v>45833</v>
      </c>
      <c r="E1319" s="10">
        <v>87</v>
      </c>
    </row>
    <row r="1320" spans="2:5">
      <c r="B1320" s="48" t="s">
        <v>4</v>
      </c>
      <c r="C1320" s="48" t="s">
        <v>5</v>
      </c>
      <c r="D1320" s="49">
        <v>45833</v>
      </c>
      <c r="E1320" s="10">
        <v>76.8</v>
      </c>
    </row>
    <row r="1321" spans="2:5">
      <c r="B1321" s="48" t="s">
        <v>35</v>
      </c>
      <c r="C1321" s="48" t="s">
        <v>36</v>
      </c>
      <c r="D1321" s="49">
        <v>45833</v>
      </c>
      <c r="E1321" s="10">
        <v>60</v>
      </c>
    </row>
    <row r="1322" spans="2:5">
      <c r="B1322" s="48" t="s">
        <v>16</v>
      </c>
      <c r="C1322" s="48" t="s">
        <v>17</v>
      </c>
      <c r="D1322" s="49">
        <v>45833</v>
      </c>
      <c r="E1322" s="10">
        <v>36</v>
      </c>
    </row>
    <row r="1323" spans="2:5">
      <c r="B1323" s="48" t="s">
        <v>12</v>
      </c>
      <c r="C1323" s="48" t="s">
        <v>13</v>
      </c>
      <c r="D1323" s="49">
        <v>45833</v>
      </c>
      <c r="E1323" s="10">
        <v>34</v>
      </c>
    </row>
    <row r="1324" spans="2:5">
      <c r="B1324" s="48" t="s">
        <v>24</v>
      </c>
      <c r="C1324" s="48" t="s">
        <v>25</v>
      </c>
      <c r="D1324" s="49">
        <v>45833</v>
      </c>
      <c r="E1324" s="10">
        <v>34</v>
      </c>
    </row>
    <row r="1325" spans="2:5">
      <c r="B1325" s="48" t="s">
        <v>10</v>
      </c>
      <c r="C1325" s="48" t="s">
        <v>11</v>
      </c>
      <c r="D1325" s="49">
        <v>45833</v>
      </c>
      <c r="E1325" s="10">
        <v>24</v>
      </c>
    </row>
    <row r="1326" spans="2:5">
      <c r="B1326" s="48" t="s">
        <v>6</v>
      </c>
      <c r="C1326" s="48" t="s">
        <v>7</v>
      </c>
      <c r="D1326" s="49">
        <v>45833</v>
      </c>
      <c r="E1326" s="10">
        <v>22</v>
      </c>
    </row>
    <row r="1327" spans="2:5">
      <c r="B1327" s="48" t="s">
        <v>22</v>
      </c>
      <c r="C1327" s="48" t="s">
        <v>23</v>
      </c>
      <c r="D1327" s="49">
        <v>45833</v>
      </c>
      <c r="E1327" s="10">
        <v>15</v>
      </c>
    </row>
    <row r="1328" spans="2:5">
      <c r="B1328" s="48" t="s">
        <v>14</v>
      </c>
      <c r="C1328" s="48" t="s">
        <v>15</v>
      </c>
      <c r="D1328" s="49">
        <v>45833</v>
      </c>
      <c r="E1328" s="10">
        <v>6</v>
      </c>
    </row>
    <row r="1329" spans="2:5">
      <c r="B1329" s="48" t="s">
        <v>20</v>
      </c>
      <c r="C1329" s="48" t="s">
        <v>21</v>
      </c>
      <c r="D1329" s="49">
        <v>45833</v>
      </c>
      <c r="E1329" s="10">
        <v>4</v>
      </c>
    </row>
    <row r="1330" spans="2:5">
      <c r="B1330" s="48" t="s">
        <v>4</v>
      </c>
      <c r="C1330" s="48" t="s">
        <v>5</v>
      </c>
      <c r="D1330" s="49">
        <v>45834</v>
      </c>
      <c r="E1330" s="10">
        <v>214.1</v>
      </c>
    </row>
    <row r="1331" spans="2:5">
      <c r="B1331" s="48" t="s">
        <v>8</v>
      </c>
      <c r="C1331" s="48" t="s">
        <v>9</v>
      </c>
      <c r="D1331" s="49">
        <v>45834</v>
      </c>
      <c r="E1331" s="10">
        <v>93</v>
      </c>
    </row>
    <row r="1332" spans="2:5">
      <c r="B1332" s="48" t="s">
        <v>12</v>
      </c>
      <c r="C1332" s="48" t="s">
        <v>13</v>
      </c>
      <c r="D1332" s="49">
        <v>45834</v>
      </c>
      <c r="E1332" s="10">
        <v>53</v>
      </c>
    </row>
    <row r="1333" spans="2:5">
      <c r="B1333" s="48" t="s">
        <v>16</v>
      </c>
      <c r="C1333" s="48" t="s">
        <v>17</v>
      </c>
      <c r="D1333" s="49">
        <v>45834</v>
      </c>
      <c r="E1333" s="10">
        <v>45</v>
      </c>
    </row>
    <row r="1334" spans="2:5">
      <c r="B1334" s="48" t="s">
        <v>24</v>
      </c>
      <c r="C1334" s="48" t="s">
        <v>25</v>
      </c>
      <c r="D1334" s="49">
        <v>45834</v>
      </c>
      <c r="E1334" s="10">
        <v>42</v>
      </c>
    </row>
    <row r="1335" spans="2:5">
      <c r="B1335" s="48" t="s">
        <v>18</v>
      </c>
      <c r="C1335" s="48" t="s">
        <v>19</v>
      </c>
      <c r="D1335" s="49">
        <v>45834</v>
      </c>
      <c r="E1335" s="10">
        <v>40</v>
      </c>
    </row>
    <row r="1336" spans="2:5">
      <c r="B1336" s="48" t="s">
        <v>10</v>
      </c>
      <c r="C1336" s="48" t="s">
        <v>11</v>
      </c>
      <c r="D1336" s="49">
        <v>45834</v>
      </c>
      <c r="E1336" s="10">
        <v>30</v>
      </c>
    </row>
    <row r="1337" spans="2:5">
      <c r="B1337" s="48" t="s">
        <v>33</v>
      </c>
      <c r="C1337" s="48" t="s">
        <v>34</v>
      </c>
      <c r="D1337" s="49">
        <v>45834</v>
      </c>
      <c r="E1337" s="10">
        <v>20</v>
      </c>
    </row>
    <row r="1338" spans="2:5">
      <c r="B1338" s="48" t="s">
        <v>22</v>
      </c>
      <c r="C1338" s="48" t="s">
        <v>23</v>
      </c>
      <c r="D1338" s="49">
        <v>45834</v>
      </c>
      <c r="E1338" s="10">
        <v>19</v>
      </c>
    </row>
    <row r="1339" spans="2:5">
      <c r="B1339" s="48" t="s">
        <v>6</v>
      </c>
      <c r="C1339" s="48" t="s">
        <v>7</v>
      </c>
      <c r="D1339" s="49">
        <v>45834</v>
      </c>
      <c r="E1339" s="10">
        <v>17</v>
      </c>
    </row>
    <row r="1340" spans="2:5">
      <c r="B1340" s="48" t="s">
        <v>20</v>
      </c>
      <c r="C1340" s="48" t="s">
        <v>21</v>
      </c>
      <c r="D1340" s="49">
        <v>45834</v>
      </c>
      <c r="E1340" s="10">
        <v>16</v>
      </c>
    </row>
    <row r="1341" spans="2:5">
      <c r="B1341" s="48" t="s">
        <v>14</v>
      </c>
      <c r="C1341" s="48" t="s">
        <v>15</v>
      </c>
      <c r="D1341" s="49">
        <v>45834</v>
      </c>
      <c r="E1341" s="10">
        <v>7</v>
      </c>
    </row>
    <row r="1342" spans="2:5">
      <c r="B1342" s="48" t="s">
        <v>4</v>
      </c>
      <c r="C1342" s="48" t="s">
        <v>5</v>
      </c>
      <c r="D1342" s="49">
        <v>45835</v>
      </c>
      <c r="E1342" s="10">
        <v>192</v>
      </c>
    </row>
    <row r="1343" spans="2:5">
      <c r="B1343" s="48" t="s">
        <v>16</v>
      </c>
      <c r="C1343" s="48" t="s">
        <v>17</v>
      </c>
      <c r="D1343" s="49">
        <v>45835</v>
      </c>
      <c r="E1343" s="10">
        <v>52</v>
      </c>
    </row>
    <row r="1344" spans="2:5">
      <c r="B1344" s="48" t="s">
        <v>35</v>
      </c>
      <c r="C1344" s="48" t="s">
        <v>36</v>
      </c>
      <c r="D1344" s="49">
        <v>45835</v>
      </c>
      <c r="E1344" s="10">
        <v>26</v>
      </c>
    </row>
    <row r="1345" spans="2:5">
      <c r="B1345" s="48" t="s">
        <v>8</v>
      </c>
      <c r="C1345" s="48" t="s">
        <v>9</v>
      </c>
      <c r="D1345" s="49">
        <v>45835</v>
      </c>
      <c r="E1345" s="10">
        <v>17</v>
      </c>
    </row>
    <row r="1346" spans="2:5">
      <c r="B1346" s="48" t="s">
        <v>12</v>
      </c>
      <c r="C1346" s="48" t="s">
        <v>13</v>
      </c>
      <c r="D1346" s="49">
        <v>45838</v>
      </c>
      <c r="E1346" s="10">
        <v>84</v>
      </c>
    </row>
    <row r="1347" spans="2:5">
      <c r="B1347" s="48" t="s">
        <v>22</v>
      </c>
      <c r="C1347" s="48" t="s">
        <v>23</v>
      </c>
      <c r="D1347" s="49">
        <v>45838</v>
      </c>
      <c r="E1347" s="10">
        <v>41</v>
      </c>
    </row>
    <row r="1348" spans="2:5">
      <c r="B1348" s="48" t="s">
        <v>8</v>
      </c>
      <c r="C1348" s="48" t="s">
        <v>9</v>
      </c>
      <c r="D1348" s="49">
        <v>45838</v>
      </c>
      <c r="E1348" s="10">
        <v>40</v>
      </c>
    </row>
    <row r="1349" spans="2:5">
      <c r="B1349" s="48" t="s">
        <v>4</v>
      </c>
      <c r="C1349" s="48" t="s">
        <v>5</v>
      </c>
      <c r="D1349" s="49">
        <v>45838</v>
      </c>
      <c r="E1349" s="10">
        <v>29.6</v>
      </c>
    </row>
    <row r="1350" spans="2:5">
      <c r="B1350" s="48" t="s">
        <v>16</v>
      </c>
      <c r="C1350" s="48" t="s">
        <v>17</v>
      </c>
      <c r="D1350" s="49">
        <v>45838</v>
      </c>
      <c r="E1350" s="10">
        <v>25</v>
      </c>
    </row>
    <row r="1351" spans="2:5">
      <c r="B1351" s="48" t="s">
        <v>24</v>
      </c>
      <c r="C1351" s="48" t="s">
        <v>25</v>
      </c>
      <c r="D1351" s="49">
        <v>45838</v>
      </c>
      <c r="E1351" s="10">
        <v>15</v>
      </c>
    </row>
    <row r="1352" spans="2:5">
      <c r="B1352" s="48" t="s">
        <v>10</v>
      </c>
      <c r="C1352" s="48" t="s">
        <v>11</v>
      </c>
      <c r="D1352" s="49">
        <v>45838</v>
      </c>
      <c r="E1352" s="10">
        <v>5</v>
      </c>
    </row>
    <row r="1353" spans="2:5">
      <c r="B1353" s="48" t="s">
        <v>37</v>
      </c>
      <c r="C1353" s="48" t="s">
        <v>38</v>
      </c>
      <c r="D1353" s="49">
        <v>45838</v>
      </c>
      <c r="E1353" s="10">
        <v>4</v>
      </c>
    </row>
    <row r="1354" spans="2:5">
      <c r="B1354" s="48" t="s">
        <v>6</v>
      </c>
      <c r="C1354" s="48" t="s">
        <v>7</v>
      </c>
      <c r="D1354" s="49">
        <v>45838</v>
      </c>
      <c r="E1354" s="10">
        <v>1</v>
      </c>
    </row>
    <row r="1355" spans="2:5">
      <c r="B1355" s="48" t="s">
        <v>4</v>
      </c>
      <c r="C1355" s="48" t="s">
        <v>5</v>
      </c>
      <c r="D1355" s="49">
        <v>45839</v>
      </c>
      <c r="E1355" s="10">
        <v>390.5</v>
      </c>
    </row>
    <row r="1356" spans="2:5">
      <c r="B1356" s="48" t="s">
        <v>8</v>
      </c>
      <c r="C1356" s="48" t="s">
        <v>9</v>
      </c>
      <c r="D1356" s="49">
        <v>45839</v>
      </c>
      <c r="E1356" s="10">
        <v>79</v>
      </c>
    </row>
    <row r="1357" spans="2:5">
      <c r="B1357" s="48" t="s">
        <v>6</v>
      </c>
      <c r="C1357" s="48" t="s">
        <v>7</v>
      </c>
      <c r="D1357" s="49">
        <v>45839</v>
      </c>
      <c r="E1357" s="10">
        <v>66</v>
      </c>
    </row>
    <row r="1358" spans="2:5">
      <c r="B1358" s="48" t="s">
        <v>12</v>
      </c>
      <c r="C1358" s="48" t="s">
        <v>13</v>
      </c>
      <c r="D1358" s="49">
        <v>45839</v>
      </c>
      <c r="E1358" s="10">
        <v>57</v>
      </c>
    </row>
    <row r="1359" spans="2:5">
      <c r="B1359" s="48" t="s">
        <v>16</v>
      </c>
      <c r="C1359" s="48" t="s">
        <v>17</v>
      </c>
      <c r="D1359" s="49">
        <v>45839</v>
      </c>
      <c r="E1359" s="10">
        <v>56</v>
      </c>
    </row>
    <row r="1360" spans="2:5">
      <c r="B1360" s="48" t="s">
        <v>10</v>
      </c>
      <c r="C1360" s="48" t="s">
        <v>11</v>
      </c>
      <c r="D1360" s="49">
        <v>45839</v>
      </c>
      <c r="E1360" s="10">
        <v>44</v>
      </c>
    </row>
    <row r="1361" spans="2:5">
      <c r="B1361" s="48" t="s">
        <v>35</v>
      </c>
      <c r="C1361" s="48" t="s">
        <v>36</v>
      </c>
      <c r="D1361" s="49">
        <v>45839</v>
      </c>
      <c r="E1361" s="10">
        <v>28</v>
      </c>
    </row>
    <row r="1362" spans="2:5">
      <c r="B1362" s="48" t="s">
        <v>24</v>
      </c>
      <c r="C1362" s="48" t="s">
        <v>25</v>
      </c>
      <c r="D1362" s="49">
        <v>45839</v>
      </c>
      <c r="E1362" s="10">
        <v>27</v>
      </c>
    </row>
    <row r="1363" spans="2:5">
      <c r="B1363" s="48" t="s">
        <v>22</v>
      </c>
      <c r="C1363" s="48" t="s">
        <v>23</v>
      </c>
      <c r="D1363" s="49">
        <v>45839</v>
      </c>
      <c r="E1363" s="10">
        <v>20</v>
      </c>
    </row>
    <row r="1364" spans="2:5">
      <c r="B1364" s="48" t="s">
        <v>37</v>
      </c>
      <c r="C1364" s="48" t="s">
        <v>38</v>
      </c>
      <c r="D1364" s="49">
        <v>45839</v>
      </c>
      <c r="E1364" s="10">
        <v>7</v>
      </c>
    </row>
    <row r="1365" spans="2:5">
      <c r="B1365" s="48" t="s">
        <v>4</v>
      </c>
      <c r="C1365" s="48" t="s">
        <v>5</v>
      </c>
      <c r="D1365" s="49">
        <v>45840</v>
      </c>
      <c r="E1365" s="10">
        <v>614.6</v>
      </c>
    </row>
    <row r="1366" spans="2:5">
      <c r="B1366" s="48" t="s">
        <v>8</v>
      </c>
      <c r="C1366" s="48" t="s">
        <v>9</v>
      </c>
      <c r="D1366" s="49">
        <v>45840</v>
      </c>
      <c r="E1366" s="10">
        <v>147</v>
      </c>
    </row>
    <row r="1367" spans="2:5">
      <c r="B1367" s="48" t="s">
        <v>6</v>
      </c>
      <c r="C1367" s="48" t="s">
        <v>7</v>
      </c>
      <c r="D1367" s="49">
        <v>45840</v>
      </c>
      <c r="E1367" s="10">
        <v>116</v>
      </c>
    </row>
    <row r="1368" spans="2:5">
      <c r="B1368" s="48" t="s">
        <v>12</v>
      </c>
      <c r="C1368" s="48" t="s">
        <v>13</v>
      </c>
      <c r="D1368" s="49">
        <v>45840</v>
      </c>
      <c r="E1368" s="10">
        <v>90</v>
      </c>
    </row>
    <row r="1369" spans="2:5">
      <c r="B1369" s="48" t="s">
        <v>10</v>
      </c>
      <c r="C1369" s="48" t="s">
        <v>11</v>
      </c>
      <c r="D1369" s="49">
        <v>45840</v>
      </c>
      <c r="E1369" s="10">
        <v>87</v>
      </c>
    </row>
    <row r="1370" spans="2:5">
      <c r="B1370" s="48" t="s">
        <v>35</v>
      </c>
      <c r="C1370" s="48" t="s">
        <v>36</v>
      </c>
      <c r="D1370" s="49">
        <v>45840</v>
      </c>
      <c r="E1370" s="10">
        <v>24</v>
      </c>
    </row>
    <row r="1371" spans="2:5">
      <c r="B1371" s="48" t="s">
        <v>16</v>
      </c>
      <c r="C1371" s="48" t="s">
        <v>17</v>
      </c>
      <c r="D1371" s="49">
        <v>45840</v>
      </c>
      <c r="E1371" s="10">
        <v>19</v>
      </c>
    </row>
    <row r="1372" spans="2:5">
      <c r="B1372" s="48" t="s">
        <v>22</v>
      </c>
      <c r="C1372" s="48" t="s">
        <v>23</v>
      </c>
      <c r="D1372" s="49">
        <v>45840</v>
      </c>
      <c r="E1372" s="10">
        <v>6</v>
      </c>
    </row>
    <row r="1373" spans="2:5">
      <c r="B1373" s="48" t="s">
        <v>24</v>
      </c>
      <c r="C1373" s="48" t="s">
        <v>25</v>
      </c>
      <c r="D1373" s="49">
        <v>45840</v>
      </c>
      <c r="E1373" s="10">
        <v>6</v>
      </c>
    </row>
    <row r="1374" spans="2:5">
      <c r="B1374" s="48" t="s">
        <v>31</v>
      </c>
      <c r="C1374" s="48" t="s">
        <v>32</v>
      </c>
      <c r="D1374" s="49">
        <v>45841</v>
      </c>
      <c r="E1374" s="10">
        <v>1170.5</v>
      </c>
    </row>
    <row r="1375" spans="2:5">
      <c r="B1375" s="48" t="s">
        <v>8</v>
      </c>
      <c r="C1375" s="48" t="s">
        <v>9</v>
      </c>
      <c r="D1375" s="49">
        <v>45841</v>
      </c>
      <c r="E1375" s="10">
        <v>82</v>
      </c>
    </row>
    <row r="1376" spans="2:5">
      <c r="B1376" s="48" t="s">
        <v>12</v>
      </c>
      <c r="C1376" s="48" t="s">
        <v>13</v>
      </c>
      <c r="D1376" s="49">
        <v>45841</v>
      </c>
      <c r="E1376" s="10">
        <v>53</v>
      </c>
    </row>
    <row r="1377" spans="2:5">
      <c r="B1377" s="48" t="s">
        <v>20</v>
      </c>
      <c r="C1377" s="48" t="s">
        <v>21</v>
      </c>
      <c r="D1377" s="49">
        <v>45841</v>
      </c>
      <c r="E1377" s="10">
        <v>50</v>
      </c>
    </row>
    <row r="1378" spans="2:5">
      <c r="B1378" s="48" t="s">
        <v>18</v>
      </c>
      <c r="C1378" s="48" t="s">
        <v>19</v>
      </c>
      <c r="D1378" s="49">
        <v>45841</v>
      </c>
      <c r="E1378" s="10">
        <v>48</v>
      </c>
    </row>
    <row r="1379" spans="2:5">
      <c r="B1379" s="48" t="s">
        <v>16</v>
      </c>
      <c r="C1379" s="48" t="s">
        <v>17</v>
      </c>
      <c r="D1379" s="49">
        <v>45841</v>
      </c>
      <c r="E1379" s="10">
        <v>48</v>
      </c>
    </row>
    <row r="1380" spans="2:5">
      <c r="B1380" s="48" t="s">
        <v>35</v>
      </c>
      <c r="C1380" s="48" t="s">
        <v>36</v>
      </c>
      <c r="D1380" s="49">
        <v>45841</v>
      </c>
      <c r="E1380" s="10">
        <v>29</v>
      </c>
    </row>
    <row r="1381" spans="2:5">
      <c r="B1381" s="48" t="s">
        <v>24</v>
      </c>
      <c r="C1381" s="48" t="s">
        <v>25</v>
      </c>
      <c r="D1381" s="49">
        <v>45841</v>
      </c>
      <c r="E1381" s="10">
        <v>20</v>
      </c>
    </row>
    <row r="1382" spans="2:5">
      <c r="B1382" s="48" t="s">
        <v>10</v>
      </c>
      <c r="C1382" s="48" t="s">
        <v>11</v>
      </c>
      <c r="D1382" s="49">
        <v>45841</v>
      </c>
      <c r="E1382" s="10">
        <v>19</v>
      </c>
    </row>
    <row r="1383" spans="2:5">
      <c r="B1383" s="48" t="s">
        <v>6</v>
      </c>
      <c r="C1383" s="48" t="s">
        <v>7</v>
      </c>
      <c r="D1383" s="49">
        <v>45841</v>
      </c>
      <c r="E1383" s="10">
        <v>15</v>
      </c>
    </row>
    <row r="1384" spans="2:5">
      <c r="B1384" s="48" t="s">
        <v>14</v>
      </c>
      <c r="C1384" s="48" t="s">
        <v>15</v>
      </c>
      <c r="D1384" s="49">
        <v>45841</v>
      </c>
      <c r="E1384" s="10">
        <v>12</v>
      </c>
    </row>
    <row r="1385" spans="2:5">
      <c r="B1385" s="48" t="s">
        <v>4</v>
      </c>
      <c r="C1385" s="48" t="s">
        <v>5</v>
      </c>
      <c r="D1385" s="49">
        <v>45842</v>
      </c>
      <c r="E1385" s="10">
        <v>171</v>
      </c>
    </row>
    <row r="1386" spans="2:5">
      <c r="B1386" s="48" t="s">
        <v>8</v>
      </c>
      <c r="C1386" s="48" t="s">
        <v>9</v>
      </c>
      <c r="D1386" s="49">
        <v>45842</v>
      </c>
      <c r="E1386" s="10">
        <v>97</v>
      </c>
    </row>
    <row r="1387" spans="2:5">
      <c r="B1387" s="48" t="s">
        <v>12</v>
      </c>
      <c r="C1387" s="48" t="s">
        <v>13</v>
      </c>
      <c r="D1387" s="49">
        <v>45842</v>
      </c>
      <c r="E1387" s="10">
        <v>85</v>
      </c>
    </row>
    <row r="1388" spans="2:5">
      <c r="B1388" s="48" t="s">
        <v>35</v>
      </c>
      <c r="C1388" s="48" t="s">
        <v>36</v>
      </c>
      <c r="D1388" s="49">
        <v>45842</v>
      </c>
      <c r="E1388" s="10">
        <v>55</v>
      </c>
    </row>
    <row r="1389" spans="2:5">
      <c r="B1389" s="48" t="s">
        <v>6</v>
      </c>
      <c r="C1389" s="48" t="s">
        <v>7</v>
      </c>
      <c r="D1389" s="49">
        <v>45842</v>
      </c>
      <c r="E1389" s="10">
        <v>22</v>
      </c>
    </row>
    <row r="1390" spans="2:5">
      <c r="B1390" s="48" t="s">
        <v>10</v>
      </c>
      <c r="C1390" s="48" t="s">
        <v>11</v>
      </c>
      <c r="D1390" s="49">
        <v>45842</v>
      </c>
      <c r="E1390" s="10">
        <v>15</v>
      </c>
    </row>
    <row r="1391" spans="2:5">
      <c r="B1391" s="48" t="s">
        <v>14</v>
      </c>
      <c r="C1391" s="48" t="s">
        <v>15</v>
      </c>
      <c r="D1391" s="49">
        <v>45842</v>
      </c>
      <c r="E1391" s="10">
        <v>1</v>
      </c>
    </row>
    <row r="1392" spans="2:5">
      <c r="B1392" s="48" t="s">
        <v>31</v>
      </c>
      <c r="C1392" s="48" t="s">
        <v>32</v>
      </c>
      <c r="D1392" s="49">
        <v>45845</v>
      </c>
      <c r="E1392" s="10">
        <v>195</v>
      </c>
    </row>
    <row r="1393" spans="2:5">
      <c r="B1393" s="48" t="s">
        <v>4</v>
      </c>
      <c r="C1393" s="48" t="s">
        <v>5</v>
      </c>
      <c r="D1393" s="49">
        <v>45845</v>
      </c>
      <c r="E1393" s="10">
        <v>160.2</v>
      </c>
    </row>
    <row r="1394" spans="2:5">
      <c r="B1394" s="48" t="s">
        <v>18</v>
      </c>
      <c r="C1394" s="48" t="s">
        <v>19</v>
      </c>
      <c r="D1394" s="49">
        <v>45845</v>
      </c>
      <c r="E1394" s="10">
        <v>40</v>
      </c>
    </row>
    <row r="1395" spans="2:5">
      <c r="B1395" s="48" t="s">
        <v>12</v>
      </c>
      <c r="C1395" s="48" t="s">
        <v>13</v>
      </c>
      <c r="D1395" s="49">
        <v>45845</v>
      </c>
      <c r="E1395" s="10">
        <v>34</v>
      </c>
    </row>
    <row r="1396" spans="2:5">
      <c r="B1396" s="48" t="s">
        <v>8</v>
      </c>
      <c r="C1396" s="48" t="s">
        <v>9</v>
      </c>
      <c r="D1396" s="49">
        <v>45845</v>
      </c>
      <c r="E1396" s="10">
        <v>30</v>
      </c>
    </row>
    <row r="1397" spans="2:5">
      <c r="B1397" s="48" t="s">
        <v>24</v>
      </c>
      <c r="C1397" s="48" t="s">
        <v>25</v>
      </c>
      <c r="D1397" s="49">
        <v>45845</v>
      </c>
      <c r="E1397" s="10">
        <v>30</v>
      </c>
    </row>
    <row r="1398" spans="2:5">
      <c r="B1398" s="48" t="s">
        <v>35</v>
      </c>
      <c r="C1398" s="48" t="s">
        <v>36</v>
      </c>
      <c r="D1398" s="49">
        <v>45845</v>
      </c>
      <c r="E1398" s="10">
        <v>14</v>
      </c>
    </row>
    <row r="1399" spans="2:5">
      <c r="B1399" s="48" t="s">
        <v>16</v>
      </c>
      <c r="C1399" s="48" t="s">
        <v>17</v>
      </c>
      <c r="D1399" s="49">
        <v>45845</v>
      </c>
      <c r="E1399" s="10">
        <v>10</v>
      </c>
    </row>
    <row r="1400" spans="2:5">
      <c r="B1400" s="48" t="s">
        <v>4</v>
      </c>
      <c r="C1400" s="48" t="s">
        <v>5</v>
      </c>
      <c r="D1400" s="49">
        <v>45846</v>
      </c>
      <c r="E1400" s="10">
        <v>1035.6</v>
      </c>
    </row>
    <row r="1401" spans="2:5">
      <c r="B1401" s="48" t="s">
        <v>8</v>
      </c>
      <c r="C1401" s="48" t="s">
        <v>9</v>
      </c>
      <c r="D1401" s="49">
        <v>45846</v>
      </c>
      <c r="E1401" s="10">
        <v>68</v>
      </c>
    </row>
    <row r="1402" spans="2:5">
      <c r="B1402" s="48" t="s">
        <v>12</v>
      </c>
      <c r="C1402" s="48" t="s">
        <v>13</v>
      </c>
      <c r="D1402" s="49">
        <v>45846</v>
      </c>
      <c r="E1402" s="10">
        <v>50</v>
      </c>
    </row>
    <row r="1403" spans="2:5">
      <c r="B1403" s="48" t="s">
        <v>6</v>
      </c>
      <c r="C1403" s="48" t="s">
        <v>7</v>
      </c>
      <c r="D1403" s="49">
        <v>45846</v>
      </c>
      <c r="E1403" s="10">
        <v>48</v>
      </c>
    </row>
    <row r="1404" spans="2:5">
      <c r="B1404" s="48" t="s">
        <v>35</v>
      </c>
      <c r="C1404" s="48" t="s">
        <v>36</v>
      </c>
      <c r="D1404" s="49">
        <v>45846</v>
      </c>
      <c r="E1404" s="10">
        <v>25</v>
      </c>
    </row>
    <row r="1405" spans="2:5">
      <c r="B1405" s="48" t="s">
        <v>10</v>
      </c>
      <c r="C1405" s="48" t="s">
        <v>11</v>
      </c>
      <c r="D1405" s="49">
        <v>45846</v>
      </c>
      <c r="E1405" s="10">
        <v>13</v>
      </c>
    </row>
    <row r="1406" spans="2:5">
      <c r="B1406" s="48" t="s">
        <v>16</v>
      </c>
      <c r="C1406" s="48" t="s">
        <v>17</v>
      </c>
      <c r="D1406" s="49">
        <v>45846</v>
      </c>
      <c r="E1406" s="10">
        <v>12</v>
      </c>
    </row>
    <row r="1407" spans="2:5">
      <c r="B1407" s="48" t="s">
        <v>18</v>
      </c>
      <c r="C1407" s="48" t="s">
        <v>19</v>
      </c>
      <c r="D1407" s="49">
        <v>45846</v>
      </c>
      <c r="E1407" s="10">
        <v>9</v>
      </c>
    </row>
    <row r="1408" spans="2:5">
      <c r="B1408" s="48" t="s">
        <v>22</v>
      </c>
      <c r="C1408" s="48" t="s">
        <v>23</v>
      </c>
      <c r="D1408" s="49">
        <v>45846</v>
      </c>
      <c r="E1408" s="10">
        <v>6</v>
      </c>
    </row>
    <row r="1409" spans="2:5">
      <c r="B1409" s="48" t="s">
        <v>4</v>
      </c>
      <c r="C1409" s="48" t="s">
        <v>5</v>
      </c>
      <c r="D1409" s="49">
        <v>45847</v>
      </c>
      <c r="E1409" s="10">
        <v>352</v>
      </c>
    </row>
    <row r="1410" spans="2:5">
      <c r="B1410" s="48" t="s">
        <v>31</v>
      </c>
      <c r="C1410" s="48" t="s">
        <v>32</v>
      </c>
      <c r="D1410" s="49">
        <v>45847</v>
      </c>
      <c r="E1410" s="10">
        <v>74.8</v>
      </c>
    </row>
    <row r="1411" spans="2:5">
      <c r="B1411" s="48" t="s">
        <v>20</v>
      </c>
      <c r="C1411" s="48" t="s">
        <v>21</v>
      </c>
      <c r="D1411" s="49">
        <v>45847</v>
      </c>
      <c r="E1411" s="10">
        <v>64</v>
      </c>
    </row>
    <row r="1412" spans="2:5">
      <c r="B1412" s="48" t="s">
        <v>12</v>
      </c>
      <c r="C1412" s="48" t="s">
        <v>13</v>
      </c>
      <c r="D1412" s="49">
        <v>45847</v>
      </c>
      <c r="E1412" s="10">
        <v>62</v>
      </c>
    </row>
    <row r="1413" spans="2:5">
      <c r="B1413" s="48" t="s">
        <v>8</v>
      </c>
      <c r="C1413" s="48" t="s">
        <v>9</v>
      </c>
      <c r="D1413" s="49">
        <v>45847</v>
      </c>
      <c r="E1413" s="10">
        <v>31</v>
      </c>
    </row>
    <row r="1414" spans="2:5">
      <c r="B1414" s="48" t="s">
        <v>6</v>
      </c>
      <c r="C1414" s="48" t="s">
        <v>7</v>
      </c>
      <c r="D1414" s="49">
        <v>45847</v>
      </c>
      <c r="E1414" s="10">
        <v>30</v>
      </c>
    </row>
    <row r="1415" spans="2:5">
      <c r="B1415" s="48" t="s">
        <v>16</v>
      </c>
      <c r="C1415" s="48" t="s">
        <v>17</v>
      </c>
      <c r="D1415" s="49">
        <v>45847</v>
      </c>
      <c r="E1415" s="10">
        <v>23</v>
      </c>
    </row>
    <row r="1416" spans="2:5">
      <c r="B1416" s="48" t="s">
        <v>24</v>
      </c>
      <c r="C1416" s="48" t="s">
        <v>25</v>
      </c>
      <c r="D1416" s="49">
        <v>45847</v>
      </c>
      <c r="E1416" s="10">
        <v>20</v>
      </c>
    </row>
    <row r="1417" spans="2:5">
      <c r="B1417" s="48" t="s">
        <v>18</v>
      </c>
      <c r="C1417" s="48" t="s">
        <v>19</v>
      </c>
      <c r="D1417" s="49">
        <v>45847</v>
      </c>
      <c r="E1417" s="10">
        <v>17</v>
      </c>
    </row>
    <row r="1418" spans="2:5">
      <c r="B1418" s="48" t="s">
        <v>10</v>
      </c>
      <c r="C1418" s="48" t="s">
        <v>11</v>
      </c>
      <c r="D1418" s="49">
        <v>45847</v>
      </c>
      <c r="E1418" s="10">
        <v>2</v>
      </c>
    </row>
    <row r="1419" spans="2:5">
      <c r="B1419" s="48" t="s">
        <v>8</v>
      </c>
      <c r="C1419" s="48" t="s">
        <v>9</v>
      </c>
      <c r="D1419" s="49">
        <v>45848</v>
      </c>
      <c r="E1419" s="10">
        <v>189</v>
      </c>
    </row>
    <row r="1420" spans="2:5">
      <c r="B1420" s="48" t="s">
        <v>24</v>
      </c>
      <c r="C1420" s="48" t="s">
        <v>25</v>
      </c>
      <c r="D1420" s="49">
        <v>45848</v>
      </c>
      <c r="E1420" s="10">
        <v>37</v>
      </c>
    </row>
    <row r="1421" spans="2:5">
      <c r="B1421" s="48" t="s">
        <v>31</v>
      </c>
      <c r="C1421" s="48" t="s">
        <v>32</v>
      </c>
      <c r="D1421" s="49">
        <v>45848</v>
      </c>
      <c r="E1421" s="10">
        <v>24.8</v>
      </c>
    </row>
    <row r="1422" spans="2:5">
      <c r="B1422" s="48" t="s">
        <v>18</v>
      </c>
      <c r="C1422" s="48" t="s">
        <v>19</v>
      </c>
      <c r="D1422" s="49">
        <v>45848</v>
      </c>
      <c r="E1422" s="10">
        <v>24</v>
      </c>
    </row>
    <row r="1423" spans="2:5">
      <c r="B1423" s="48" t="s">
        <v>12</v>
      </c>
      <c r="C1423" s="48" t="s">
        <v>13</v>
      </c>
      <c r="D1423" s="49">
        <v>45848</v>
      </c>
      <c r="E1423" s="10">
        <v>22</v>
      </c>
    </row>
    <row r="1424" spans="2:5">
      <c r="B1424" s="48" t="s">
        <v>16</v>
      </c>
      <c r="C1424" s="48" t="s">
        <v>17</v>
      </c>
      <c r="D1424" s="49">
        <v>45848</v>
      </c>
      <c r="E1424" s="10">
        <v>14</v>
      </c>
    </row>
    <row r="1425" spans="2:5">
      <c r="B1425" s="48" t="s">
        <v>14</v>
      </c>
      <c r="C1425" s="48" t="s">
        <v>15</v>
      </c>
      <c r="D1425" s="49">
        <v>45848</v>
      </c>
      <c r="E1425" s="10">
        <v>13</v>
      </c>
    </row>
    <row r="1426" spans="2:5">
      <c r="B1426" s="48" t="s">
        <v>37</v>
      </c>
      <c r="C1426" s="48" t="s">
        <v>38</v>
      </c>
      <c r="D1426" s="49">
        <v>45848</v>
      </c>
      <c r="E1426" s="10">
        <v>10</v>
      </c>
    </row>
    <row r="1427" spans="2:5">
      <c r="B1427" s="48" t="s">
        <v>10</v>
      </c>
      <c r="C1427" s="48" t="s">
        <v>11</v>
      </c>
      <c r="D1427" s="49">
        <v>45848</v>
      </c>
      <c r="E1427" s="10">
        <v>9</v>
      </c>
    </row>
    <row r="1428" spans="2:5">
      <c r="B1428" s="48" t="s">
        <v>6</v>
      </c>
      <c r="C1428" s="48" t="s">
        <v>7</v>
      </c>
      <c r="D1428" s="49">
        <v>45848</v>
      </c>
      <c r="E1428" s="10">
        <v>8</v>
      </c>
    </row>
    <row r="1429" spans="2:5">
      <c r="B1429" s="48" t="s">
        <v>8</v>
      </c>
      <c r="C1429" s="48" t="s">
        <v>9</v>
      </c>
      <c r="D1429" s="49">
        <v>45849</v>
      </c>
      <c r="E1429" s="10">
        <v>347</v>
      </c>
    </row>
    <row r="1430" spans="2:5">
      <c r="B1430" s="48" t="s">
        <v>31</v>
      </c>
      <c r="C1430" s="48" t="s">
        <v>32</v>
      </c>
      <c r="D1430" s="49">
        <v>45849</v>
      </c>
      <c r="E1430" s="10">
        <v>64.6</v>
      </c>
    </row>
    <row r="1431" spans="2:5">
      <c r="B1431" s="48" t="s">
        <v>12</v>
      </c>
      <c r="C1431" s="48" t="s">
        <v>13</v>
      </c>
      <c r="D1431" s="49">
        <v>45849</v>
      </c>
      <c r="E1431" s="10">
        <v>42</v>
      </c>
    </row>
    <row r="1432" spans="2:5">
      <c r="B1432" s="48" t="s">
        <v>16</v>
      </c>
      <c r="C1432" s="48" t="s">
        <v>17</v>
      </c>
      <c r="D1432" s="49">
        <v>45849</v>
      </c>
      <c r="E1432" s="10">
        <v>35</v>
      </c>
    </row>
    <row r="1433" spans="2:5">
      <c r="B1433" s="48" t="s">
        <v>6</v>
      </c>
      <c r="C1433" s="48" t="s">
        <v>7</v>
      </c>
      <c r="D1433" s="49">
        <v>45849</v>
      </c>
      <c r="E1433" s="10">
        <v>28</v>
      </c>
    </row>
    <row r="1434" spans="2:5">
      <c r="B1434" s="48" t="s">
        <v>24</v>
      </c>
      <c r="C1434" s="48" t="s">
        <v>25</v>
      </c>
      <c r="D1434" s="49">
        <v>45849</v>
      </c>
      <c r="E1434" s="10">
        <v>21</v>
      </c>
    </row>
    <row r="1435" spans="2:5">
      <c r="B1435" s="48" t="s">
        <v>33</v>
      </c>
      <c r="C1435" s="48" t="s">
        <v>34</v>
      </c>
      <c r="D1435" s="49">
        <v>45849</v>
      </c>
      <c r="E1435" s="10">
        <v>18</v>
      </c>
    </row>
    <row r="1436" spans="2:5">
      <c r="B1436" s="48" t="s">
        <v>37</v>
      </c>
      <c r="C1436" s="48" t="s">
        <v>38</v>
      </c>
      <c r="D1436" s="49">
        <v>45849</v>
      </c>
      <c r="E1436" s="10">
        <v>17</v>
      </c>
    </row>
    <row r="1437" spans="2:5">
      <c r="B1437" s="48" t="s">
        <v>10</v>
      </c>
      <c r="C1437" s="48" t="s">
        <v>11</v>
      </c>
      <c r="D1437" s="49">
        <v>45849</v>
      </c>
      <c r="E1437" s="10">
        <v>3</v>
      </c>
    </row>
    <row r="1438" spans="2:5">
      <c r="B1438" s="48" t="s">
        <v>4</v>
      </c>
      <c r="C1438" s="48" t="s">
        <v>5</v>
      </c>
      <c r="D1438" s="49">
        <v>45852</v>
      </c>
      <c r="E1438" s="10">
        <v>246.7</v>
      </c>
    </row>
    <row r="1439" spans="2:5">
      <c r="B1439" s="48" t="s">
        <v>6</v>
      </c>
      <c r="C1439" s="48" t="s">
        <v>7</v>
      </c>
      <c r="D1439" s="49">
        <v>45852</v>
      </c>
      <c r="E1439" s="10">
        <v>52</v>
      </c>
    </row>
    <row r="1440" spans="2:5">
      <c r="B1440" s="48" t="s">
        <v>12</v>
      </c>
      <c r="C1440" s="48" t="s">
        <v>13</v>
      </c>
      <c r="D1440" s="49">
        <v>45852</v>
      </c>
      <c r="E1440" s="10">
        <v>38</v>
      </c>
    </row>
    <row r="1441" spans="2:5">
      <c r="B1441" s="48" t="s">
        <v>24</v>
      </c>
      <c r="C1441" s="48" t="s">
        <v>25</v>
      </c>
      <c r="D1441" s="49">
        <v>45852</v>
      </c>
      <c r="E1441" s="10">
        <v>35</v>
      </c>
    </row>
    <row r="1442" spans="2:5">
      <c r="B1442" s="48" t="s">
        <v>10</v>
      </c>
      <c r="C1442" s="48" t="s">
        <v>11</v>
      </c>
      <c r="D1442" s="49">
        <v>45852</v>
      </c>
      <c r="E1442" s="10">
        <v>20</v>
      </c>
    </row>
    <row r="1443" spans="2:5">
      <c r="B1443" s="48" t="s">
        <v>8</v>
      </c>
      <c r="C1443" s="48" t="s">
        <v>9</v>
      </c>
      <c r="D1443" s="49">
        <v>45852</v>
      </c>
      <c r="E1443" s="10">
        <v>16</v>
      </c>
    </row>
    <row r="1444" spans="2:5">
      <c r="B1444" s="48" t="s">
        <v>37</v>
      </c>
      <c r="C1444" s="48" t="s">
        <v>38</v>
      </c>
      <c r="D1444" s="49">
        <v>45852</v>
      </c>
      <c r="E1444" s="10">
        <v>15</v>
      </c>
    </row>
    <row r="1445" spans="2:5">
      <c r="B1445" s="48" t="s">
        <v>14</v>
      </c>
      <c r="C1445" s="48" t="s">
        <v>15</v>
      </c>
      <c r="D1445" s="49">
        <v>45852</v>
      </c>
      <c r="E1445" s="10">
        <v>9</v>
      </c>
    </row>
    <row r="1446" spans="2:5">
      <c r="B1446" s="48" t="s">
        <v>16</v>
      </c>
      <c r="C1446" s="48" t="s">
        <v>17</v>
      </c>
      <c r="D1446" s="49">
        <v>45852</v>
      </c>
      <c r="E1446" s="10">
        <v>8</v>
      </c>
    </row>
    <row r="1447" spans="2:5">
      <c r="B1447" s="48" t="s">
        <v>18</v>
      </c>
      <c r="C1447" s="48" t="s">
        <v>19</v>
      </c>
      <c r="D1447" s="49">
        <v>45852</v>
      </c>
      <c r="E1447" s="10">
        <v>7</v>
      </c>
    </row>
    <row r="1448" spans="2:5">
      <c r="B1448" s="48" t="s">
        <v>4</v>
      </c>
      <c r="C1448" s="48" t="s">
        <v>5</v>
      </c>
      <c r="D1448" s="49">
        <v>45853</v>
      </c>
      <c r="E1448" s="10">
        <v>804.9</v>
      </c>
    </row>
    <row r="1449" spans="2:5">
      <c r="B1449" s="48" t="s">
        <v>31</v>
      </c>
      <c r="C1449" s="48" t="s">
        <v>32</v>
      </c>
      <c r="D1449" s="49">
        <v>45853</v>
      </c>
      <c r="E1449" s="10">
        <v>201.6</v>
      </c>
    </row>
    <row r="1450" spans="2:5">
      <c r="B1450" s="48" t="s">
        <v>8</v>
      </c>
      <c r="C1450" s="48" t="s">
        <v>9</v>
      </c>
      <c r="D1450" s="49">
        <v>45853</v>
      </c>
      <c r="E1450" s="10">
        <v>146</v>
      </c>
    </row>
    <row r="1451" spans="2:5">
      <c r="B1451" s="48" t="s">
        <v>12</v>
      </c>
      <c r="C1451" s="48" t="s">
        <v>13</v>
      </c>
      <c r="D1451" s="49">
        <v>45853</v>
      </c>
      <c r="E1451" s="10">
        <v>138</v>
      </c>
    </row>
    <row r="1452" spans="2:5">
      <c r="B1452" s="48" t="s">
        <v>16</v>
      </c>
      <c r="C1452" s="48" t="s">
        <v>17</v>
      </c>
      <c r="D1452" s="49">
        <v>45853</v>
      </c>
      <c r="E1452" s="10">
        <v>84</v>
      </c>
    </row>
    <row r="1453" spans="2:5">
      <c r="B1453" s="48" t="s">
        <v>6</v>
      </c>
      <c r="C1453" s="48" t="s">
        <v>7</v>
      </c>
      <c r="D1453" s="49">
        <v>45853</v>
      </c>
      <c r="E1453" s="10">
        <v>62</v>
      </c>
    </row>
    <row r="1454" spans="2:5">
      <c r="B1454" s="48" t="s">
        <v>35</v>
      </c>
      <c r="C1454" s="48" t="s">
        <v>36</v>
      </c>
      <c r="D1454" s="49">
        <v>45853</v>
      </c>
      <c r="E1454" s="10">
        <v>56</v>
      </c>
    </row>
    <row r="1455" spans="2:5">
      <c r="B1455" s="48" t="s">
        <v>10</v>
      </c>
      <c r="C1455" s="48" t="s">
        <v>11</v>
      </c>
      <c r="D1455" s="49">
        <v>45853</v>
      </c>
      <c r="E1455" s="10">
        <v>12</v>
      </c>
    </row>
    <row r="1456" spans="2:5">
      <c r="B1456" s="48" t="s">
        <v>24</v>
      </c>
      <c r="C1456" s="48" t="s">
        <v>25</v>
      </c>
      <c r="D1456" s="49">
        <v>45853</v>
      </c>
      <c r="E1456" s="10">
        <v>12</v>
      </c>
    </row>
    <row r="1457" spans="2:5">
      <c r="B1457" s="48" t="s">
        <v>20</v>
      </c>
      <c r="C1457" s="48" t="s">
        <v>21</v>
      </c>
      <c r="D1457" s="49">
        <v>45853</v>
      </c>
      <c r="E1457" s="10">
        <v>10</v>
      </c>
    </row>
    <row r="1458" spans="2:5">
      <c r="B1458" s="48" t="s">
        <v>33</v>
      </c>
      <c r="C1458" s="48" t="s">
        <v>34</v>
      </c>
      <c r="D1458" s="49">
        <v>45853</v>
      </c>
      <c r="E1458" s="10">
        <v>10</v>
      </c>
    </row>
    <row r="1459" spans="2:5">
      <c r="B1459" s="48" t="s">
        <v>4</v>
      </c>
      <c r="C1459" s="48" t="s">
        <v>5</v>
      </c>
      <c r="D1459" s="49">
        <v>45854</v>
      </c>
      <c r="E1459" s="10">
        <v>114</v>
      </c>
    </row>
    <row r="1460" spans="2:5">
      <c r="B1460" s="48" t="s">
        <v>8</v>
      </c>
      <c r="C1460" s="48" t="s">
        <v>9</v>
      </c>
      <c r="D1460" s="49">
        <v>45854</v>
      </c>
      <c r="E1460" s="10">
        <v>104</v>
      </c>
    </row>
    <row r="1461" spans="2:5">
      <c r="B1461" s="48" t="s">
        <v>16</v>
      </c>
      <c r="C1461" s="48" t="s">
        <v>17</v>
      </c>
      <c r="D1461" s="49">
        <v>45854</v>
      </c>
      <c r="E1461" s="10">
        <v>98</v>
      </c>
    </row>
    <row r="1462" spans="2:5">
      <c r="B1462" s="48" t="s">
        <v>24</v>
      </c>
      <c r="C1462" s="48" t="s">
        <v>25</v>
      </c>
      <c r="D1462" s="49">
        <v>45854</v>
      </c>
      <c r="E1462" s="10">
        <v>76</v>
      </c>
    </row>
    <row r="1463" spans="2:5">
      <c r="B1463" s="48" t="s">
        <v>6</v>
      </c>
      <c r="C1463" s="48" t="s">
        <v>7</v>
      </c>
      <c r="D1463" s="49">
        <v>45854</v>
      </c>
      <c r="E1463" s="10">
        <v>44</v>
      </c>
    </row>
    <row r="1464" spans="2:5">
      <c r="B1464" s="48" t="s">
        <v>10</v>
      </c>
      <c r="C1464" s="48" t="s">
        <v>11</v>
      </c>
      <c r="D1464" s="49">
        <v>45854</v>
      </c>
      <c r="E1464" s="10">
        <v>41</v>
      </c>
    </row>
    <row r="1465" spans="2:5">
      <c r="B1465" s="48" t="s">
        <v>18</v>
      </c>
      <c r="C1465" s="48" t="s">
        <v>19</v>
      </c>
      <c r="D1465" s="49">
        <v>45854</v>
      </c>
      <c r="E1465" s="10">
        <v>34</v>
      </c>
    </row>
    <row r="1466" spans="2:5">
      <c r="B1466" s="48" t="s">
        <v>35</v>
      </c>
      <c r="C1466" s="48" t="s">
        <v>36</v>
      </c>
      <c r="D1466" s="49">
        <v>45854</v>
      </c>
      <c r="E1466" s="10">
        <v>32</v>
      </c>
    </row>
    <row r="1467" spans="2:5">
      <c r="B1467" s="48" t="s">
        <v>37</v>
      </c>
      <c r="C1467" s="48" t="s">
        <v>38</v>
      </c>
      <c r="D1467" s="49">
        <v>45854</v>
      </c>
      <c r="E1467" s="10">
        <v>21</v>
      </c>
    </row>
    <row r="1468" spans="2:5">
      <c r="B1468" s="48" t="s">
        <v>12</v>
      </c>
      <c r="C1468" s="48" t="s">
        <v>13</v>
      </c>
      <c r="D1468" s="49">
        <v>45854</v>
      </c>
      <c r="E1468" s="10">
        <v>15</v>
      </c>
    </row>
    <row r="1469" spans="2:5">
      <c r="B1469" s="48" t="s">
        <v>33</v>
      </c>
      <c r="C1469" s="48" t="s">
        <v>34</v>
      </c>
      <c r="D1469" s="49">
        <v>45854</v>
      </c>
      <c r="E1469" s="10">
        <v>15</v>
      </c>
    </row>
    <row r="1470" spans="2:5">
      <c r="B1470" s="48" t="s">
        <v>14</v>
      </c>
      <c r="C1470" s="48" t="s">
        <v>15</v>
      </c>
      <c r="D1470" s="49">
        <v>45854</v>
      </c>
      <c r="E1470" s="10">
        <v>15</v>
      </c>
    </row>
    <row r="1471" spans="2:5">
      <c r="B1471" s="48" t="s">
        <v>20</v>
      </c>
      <c r="C1471" s="48" t="s">
        <v>21</v>
      </c>
      <c r="D1471" s="49">
        <v>45854</v>
      </c>
      <c r="E1471" s="10">
        <v>14</v>
      </c>
    </row>
    <row r="1472" spans="2:5">
      <c r="B1472" s="48" t="s">
        <v>22</v>
      </c>
      <c r="C1472" s="48" t="s">
        <v>23</v>
      </c>
      <c r="D1472" s="49">
        <v>45854</v>
      </c>
      <c r="E1472" s="10">
        <v>3</v>
      </c>
    </row>
    <row r="1473" spans="2:5">
      <c r="B1473" s="48" t="s">
        <v>4</v>
      </c>
      <c r="C1473" s="48" t="s">
        <v>5</v>
      </c>
      <c r="D1473" s="49">
        <v>45855</v>
      </c>
      <c r="E1473" s="10">
        <v>634.8</v>
      </c>
    </row>
    <row r="1474" spans="2:5">
      <c r="B1474" s="48" t="s">
        <v>31</v>
      </c>
      <c r="C1474" s="48" t="s">
        <v>32</v>
      </c>
      <c r="D1474" s="49">
        <v>45855</v>
      </c>
      <c r="E1474" s="10">
        <v>319.6</v>
      </c>
    </row>
    <row r="1475" spans="2:5">
      <c r="B1475" s="48" t="s">
        <v>8</v>
      </c>
      <c r="C1475" s="48" t="s">
        <v>9</v>
      </c>
      <c r="D1475" s="49">
        <v>45855</v>
      </c>
      <c r="E1475" s="10">
        <v>173</v>
      </c>
    </row>
    <row r="1476" spans="2:5">
      <c r="B1476" s="48" t="s">
        <v>12</v>
      </c>
      <c r="C1476" s="48" t="s">
        <v>13</v>
      </c>
      <c r="D1476" s="49">
        <v>45855</v>
      </c>
      <c r="E1476" s="10">
        <v>75</v>
      </c>
    </row>
    <row r="1477" spans="2:5">
      <c r="B1477" s="48" t="s">
        <v>35</v>
      </c>
      <c r="C1477" s="48" t="s">
        <v>36</v>
      </c>
      <c r="D1477" s="49">
        <v>45855</v>
      </c>
      <c r="E1477" s="10">
        <v>65</v>
      </c>
    </row>
    <row r="1478" spans="2:5">
      <c r="B1478" s="48" t="s">
        <v>24</v>
      </c>
      <c r="C1478" s="48" t="s">
        <v>25</v>
      </c>
      <c r="D1478" s="49">
        <v>45855</v>
      </c>
      <c r="E1478" s="10">
        <v>46</v>
      </c>
    </row>
    <row r="1479" spans="2:5">
      <c r="B1479" s="48" t="s">
        <v>6</v>
      </c>
      <c r="C1479" s="48" t="s">
        <v>7</v>
      </c>
      <c r="D1479" s="49">
        <v>45855</v>
      </c>
      <c r="E1479" s="10">
        <v>18</v>
      </c>
    </row>
    <row r="1480" spans="2:5">
      <c r="B1480" s="48" t="s">
        <v>14</v>
      </c>
      <c r="C1480" s="48" t="s">
        <v>15</v>
      </c>
      <c r="D1480" s="49">
        <v>45855</v>
      </c>
      <c r="E1480" s="10">
        <v>11</v>
      </c>
    </row>
    <row r="1481" spans="2:5">
      <c r="B1481" s="48" t="s">
        <v>18</v>
      </c>
      <c r="C1481" s="48" t="s">
        <v>19</v>
      </c>
      <c r="D1481" s="49">
        <v>45855</v>
      </c>
      <c r="E1481" s="10">
        <v>10</v>
      </c>
    </row>
    <row r="1482" spans="2:5">
      <c r="B1482" s="48" t="s">
        <v>16</v>
      </c>
      <c r="C1482" s="48" t="s">
        <v>17</v>
      </c>
      <c r="D1482" s="49">
        <v>45855</v>
      </c>
      <c r="E1482" s="10">
        <v>3</v>
      </c>
    </row>
    <row r="1483" spans="2:5">
      <c r="B1483" s="48" t="s">
        <v>4</v>
      </c>
      <c r="C1483" s="48" t="s">
        <v>5</v>
      </c>
      <c r="D1483" s="49">
        <v>45856</v>
      </c>
      <c r="E1483" s="10">
        <v>335.5</v>
      </c>
    </row>
    <row r="1484" spans="2:5">
      <c r="B1484" s="48" t="s">
        <v>24</v>
      </c>
      <c r="C1484" s="48" t="s">
        <v>25</v>
      </c>
      <c r="D1484" s="49">
        <v>45856</v>
      </c>
      <c r="E1484" s="10">
        <v>121</v>
      </c>
    </row>
    <row r="1485" spans="2:5">
      <c r="B1485" s="48" t="s">
        <v>12</v>
      </c>
      <c r="C1485" s="48" t="s">
        <v>13</v>
      </c>
      <c r="D1485" s="49">
        <v>45856</v>
      </c>
      <c r="E1485" s="10">
        <v>16</v>
      </c>
    </row>
    <row r="1486" spans="2:5">
      <c r="B1486" s="48" t="s">
        <v>8</v>
      </c>
      <c r="C1486" s="48" t="s">
        <v>9</v>
      </c>
      <c r="D1486" s="49">
        <v>45856</v>
      </c>
      <c r="E1486" s="10">
        <v>15</v>
      </c>
    </row>
    <row r="1487" spans="2:5">
      <c r="B1487" s="48" t="s">
        <v>6</v>
      </c>
      <c r="C1487" s="48" t="s">
        <v>7</v>
      </c>
      <c r="D1487" s="49">
        <v>45856</v>
      </c>
      <c r="E1487" s="10">
        <v>14</v>
      </c>
    </row>
    <row r="1488" spans="2:5">
      <c r="B1488" s="48" t="s">
        <v>35</v>
      </c>
      <c r="C1488" s="48" t="s">
        <v>36</v>
      </c>
      <c r="D1488" s="49">
        <v>45856</v>
      </c>
      <c r="E1488" s="10">
        <v>14</v>
      </c>
    </row>
    <row r="1489" spans="2:5">
      <c r="B1489" s="48" t="s">
        <v>10</v>
      </c>
      <c r="C1489" s="48" t="s">
        <v>11</v>
      </c>
      <c r="D1489" s="49">
        <v>45856</v>
      </c>
      <c r="E1489" s="10">
        <v>8</v>
      </c>
    </row>
    <row r="1490" spans="2:5">
      <c r="B1490" s="48" t="s">
        <v>16</v>
      </c>
      <c r="C1490" s="48" t="s">
        <v>17</v>
      </c>
      <c r="D1490" s="49">
        <v>45856</v>
      </c>
      <c r="E1490" s="10">
        <v>3</v>
      </c>
    </row>
    <row r="1491" spans="2:5">
      <c r="B1491" s="48" t="s">
        <v>14</v>
      </c>
      <c r="C1491" s="48" t="s">
        <v>15</v>
      </c>
      <c r="D1491" s="49">
        <v>45856</v>
      </c>
      <c r="E1491" s="10">
        <v>3</v>
      </c>
    </row>
    <row r="1492" spans="2:5">
      <c r="B1492" s="48" t="s">
        <v>4</v>
      </c>
      <c r="C1492" s="48" t="s">
        <v>5</v>
      </c>
      <c r="D1492" s="49">
        <v>45859</v>
      </c>
      <c r="E1492" s="10">
        <v>1162.85</v>
      </c>
    </row>
    <row r="1493" spans="2:5">
      <c r="B1493" s="48" t="s">
        <v>35</v>
      </c>
      <c r="C1493" s="48" t="s">
        <v>36</v>
      </c>
      <c r="D1493" s="49">
        <v>45859</v>
      </c>
      <c r="E1493" s="10">
        <v>103</v>
      </c>
    </row>
    <row r="1494" spans="2:5">
      <c r="B1494" s="48" t="s">
        <v>16</v>
      </c>
      <c r="C1494" s="48" t="s">
        <v>17</v>
      </c>
      <c r="D1494" s="49">
        <v>45859</v>
      </c>
      <c r="E1494" s="10">
        <v>94</v>
      </c>
    </row>
    <row r="1495" spans="2:5">
      <c r="B1495" s="48" t="s">
        <v>8</v>
      </c>
      <c r="C1495" s="48" t="s">
        <v>9</v>
      </c>
      <c r="D1495" s="49">
        <v>45859</v>
      </c>
      <c r="E1495" s="10">
        <v>91</v>
      </c>
    </row>
    <row r="1496" spans="2:5">
      <c r="B1496" s="48" t="s">
        <v>37</v>
      </c>
      <c r="C1496" s="48" t="s">
        <v>38</v>
      </c>
      <c r="D1496" s="49">
        <v>45859</v>
      </c>
      <c r="E1496" s="10">
        <v>85</v>
      </c>
    </row>
    <row r="1497" spans="2:5">
      <c r="B1497" s="48" t="s">
        <v>12</v>
      </c>
      <c r="C1497" s="48" t="s">
        <v>13</v>
      </c>
      <c r="D1497" s="49">
        <v>45859</v>
      </c>
      <c r="E1497" s="10">
        <v>67</v>
      </c>
    </row>
    <row r="1498" spans="2:5">
      <c r="B1498" s="48" t="s">
        <v>6</v>
      </c>
      <c r="C1498" s="48" t="s">
        <v>7</v>
      </c>
      <c r="D1498" s="49">
        <v>45859</v>
      </c>
      <c r="E1498" s="10">
        <v>55</v>
      </c>
    </row>
    <row r="1499" spans="2:5">
      <c r="B1499" s="48" t="s">
        <v>18</v>
      </c>
      <c r="C1499" s="48" t="s">
        <v>19</v>
      </c>
      <c r="D1499" s="49">
        <v>45859</v>
      </c>
      <c r="E1499" s="10">
        <v>37</v>
      </c>
    </row>
    <row r="1500" spans="2:5">
      <c r="B1500" s="48" t="s">
        <v>22</v>
      </c>
      <c r="C1500" s="48" t="s">
        <v>23</v>
      </c>
      <c r="D1500" s="49">
        <v>45859</v>
      </c>
      <c r="E1500" s="10">
        <v>21</v>
      </c>
    </row>
    <row r="1501" spans="2:5">
      <c r="B1501" s="48" t="s">
        <v>24</v>
      </c>
      <c r="C1501" s="48" t="s">
        <v>25</v>
      </c>
      <c r="D1501" s="49">
        <v>45859</v>
      </c>
      <c r="E1501" s="10">
        <v>20</v>
      </c>
    </row>
    <row r="1502" spans="2:5">
      <c r="B1502" s="48" t="s">
        <v>10</v>
      </c>
      <c r="C1502" s="48" t="s">
        <v>11</v>
      </c>
      <c r="D1502" s="49">
        <v>45859</v>
      </c>
      <c r="E1502" s="10">
        <v>15</v>
      </c>
    </row>
    <row r="1503" spans="2:5">
      <c r="B1503" s="48" t="s">
        <v>20</v>
      </c>
      <c r="C1503" s="48" t="s">
        <v>21</v>
      </c>
      <c r="D1503" s="49">
        <v>45859</v>
      </c>
      <c r="E1503" s="10">
        <v>11</v>
      </c>
    </row>
    <row r="1504" spans="2:5">
      <c r="B1504" s="48" t="s">
        <v>4</v>
      </c>
      <c r="C1504" s="48" t="s">
        <v>5</v>
      </c>
      <c r="D1504" s="49">
        <v>45860</v>
      </c>
      <c r="E1504" s="10">
        <v>259.45</v>
      </c>
    </row>
    <row r="1505" spans="2:5">
      <c r="B1505" s="48" t="s">
        <v>8</v>
      </c>
      <c r="C1505" s="48" t="s">
        <v>9</v>
      </c>
      <c r="D1505" s="49">
        <v>45860</v>
      </c>
      <c r="E1505" s="10">
        <v>142</v>
      </c>
    </row>
    <row r="1506" spans="2:5">
      <c r="B1506" s="48" t="s">
        <v>12</v>
      </c>
      <c r="C1506" s="48" t="s">
        <v>13</v>
      </c>
      <c r="D1506" s="49">
        <v>45860</v>
      </c>
      <c r="E1506" s="10">
        <v>91</v>
      </c>
    </row>
    <row r="1507" spans="2:5">
      <c r="B1507" s="48" t="s">
        <v>22</v>
      </c>
      <c r="C1507" s="48" t="s">
        <v>23</v>
      </c>
      <c r="D1507" s="49">
        <v>45860</v>
      </c>
      <c r="E1507" s="10">
        <v>80</v>
      </c>
    </row>
    <row r="1508" spans="2:5">
      <c r="B1508" s="48" t="s">
        <v>6</v>
      </c>
      <c r="C1508" s="48" t="s">
        <v>7</v>
      </c>
      <c r="D1508" s="49">
        <v>45860</v>
      </c>
      <c r="E1508" s="10">
        <v>62</v>
      </c>
    </row>
    <row r="1509" spans="2:5">
      <c r="B1509" s="48" t="s">
        <v>10</v>
      </c>
      <c r="C1509" s="48" t="s">
        <v>11</v>
      </c>
      <c r="D1509" s="49">
        <v>45860</v>
      </c>
      <c r="E1509" s="10">
        <v>16</v>
      </c>
    </row>
    <row r="1510" spans="2:5">
      <c r="B1510" s="48" t="s">
        <v>24</v>
      </c>
      <c r="C1510" s="48" t="s">
        <v>25</v>
      </c>
      <c r="D1510" s="49">
        <v>45860</v>
      </c>
      <c r="E1510" s="10">
        <v>15</v>
      </c>
    </row>
    <row r="1511" spans="2:5">
      <c r="B1511" s="48" t="s">
        <v>16</v>
      </c>
      <c r="C1511" s="48" t="s">
        <v>17</v>
      </c>
      <c r="D1511" s="49">
        <v>45860</v>
      </c>
      <c r="E1511" s="10">
        <v>14</v>
      </c>
    </row>
    <row r="1512" spans="2:5">
      <c r="B1512" s="48" t="s">
        <v>4</v>
      </c>
      <c r="C1512" s="48" t="s">
        <v>5</v>
      </c>
      <c r="D1512" s="49">
        <v>45861</v>
      </c>
      <c r="E1512" s="10">
        <v>420.8</v>
      </c>
    </row>
    <row r="1513" spans="2:5">
      <c r="B1513" s="48" t="s">
        <v>12</v>
      </c>
      <c r="C1513" s="48" t="s">
        <v>13</v>
      </c>
      <c r="D1513" s="49">
        <v>45861</v>
      </c>
      <c r="E1513" s="10">
        <v>150</v>
      </c>
    </row>
    <row r="1514" spans="2:5">
      <c r="B1514" s="48" t="s">
        <v>16</v>
      </c>
      <c r="C1514" s="48" t="s">
        <v>17</v>
      </c>
      <c r="D1514" s="49">
        <v>45861</v>
      </c>
      <c r="E1514" s="10">
        <v>90</v>
      </c>
    </row>
    <row r="1515" spans="2:5">
      <c r="B1515" s="48" t="s">
        <v>8</v>
      </c>
      <c r="C1515" s="48" t="s">
        <v>9</v>
      </c>
      <c r="D1515" s="49">
        <v>45861</v>
      </c>
      <c r="E1515" s="10">
        <v>77</v>
      </c>
    </row>
    <row r="1516" spans="2:5">
      <c r="B1516" s="48" t="s">
        <v>37</v>
      </c>
      <c r="C1516" s="48" t="s">
        <v>38</v>
      </c>
      <c r="D1516" s="49">
        <v>45861</v>
      </c>
      <c r="E1516" s="10">
        <v>47</v>
      </c>
    </row>
    <row r="1517" spans="2:5">
      <c r="B1517" s="48" t="s">
        <v>6</v>
      </c>
      <c r="C1517" s="48" t="s">
        <v>7</v>
      </c>
      <c r="D1517" s="49">
        <v>45861</v>
      </c>
      <c r="E1517" s="10">
        <v>42</v>
      </c>
    </row>
    <row r="1518" spans="2:5">
      <c r="B1518" s="48" t="s">
        <v>24</v>
      </c>
      <c r="C1518" s="48" t="s">
        <v>25</v>
      </c>
      <c r="D1518" s="49">
        <v>45861</v>
      </c>
      <c r="E1518" s="10">
        <v>32</v>
      </c>
    </row>
    <row r="1519" spans="2:5">
      <c r="B1519" s="48" t="s">
        <v>10</v>
      </c>
      <c r="C1519" s="48" t="s">
        <v>11</v>
      </c>
      <c r="D1519" s="49">
        <v>45861</v>
      </c>
      <c r="E1519" s="10">
        <v>17</v>
      </c>
    </row>
    <row r="1520" spans="2:5">
      <c r="B1520" s="48" t="s">
        <v>35</v>
      </c>
      <c r="C1520" s="48" t="s">
        <v>36</v>
      </c>
      <c r="D1520" s="49">
        <v>45861</v>
      </c>
      <c r="E1520" s="10">
        <v>14</v>
      </c>
    </row>
    <row r="1521" spans="2:5">
      <c r="B1521" s="48" t="s">
        <v>14</v>
      </c>
      <c r="C1521" s="48" t="s">
        <v>15</v>
      </c>
      <c r="D1521" s="49">
        <v>45861</v>
      </c>
      <c r="E1521" s="10">
        <v>8</v>
      </c>
    </row>
    <row r="1522" spans="2:5">
      <c r="B1522" s="48" t="s">
        <v>14</v>
      </c>
      <c r="C1522" s="48" t="s">
        <v>15</v>
      </c>
      <c r="D1522" s="49">
        <v>45862</v>
      </c>
      <c r="E1522" s="10">
        <v>102</v>
      </c>
    </row>
    <row r="1523" spans="2:5">
      <c r="B1523" t="s">
        <v>12</v>
      </c>
      <c r="C1523" s="48" t="s">
        <v>13</v>
      </c>
      <c r="D1523" s="49">
        <v>45862</v>
      </c>
      <c r="E1523" s="10">
        <v>66</v>
      </c>
    </row>
    <row r="1524" spans="2:5">
      <c r="B1524" t="s">
        <v>8</v>
      </c>
      <c r="C1524" s="48" t="s">
        <v>9</v>
      </c>
      <c r="D1524" s="49">
        <v>45862</v>
      </c>
      <c r="E1524" s="10">
        <v>63</v>
      </c>
    </row>
    <row r="1525" spans="2:5">
      <c r="B1525" t="s">
        <v>10</v>
      </c>
      <c r="C1525" s="48" t="s">
        <v>11</v>
      </c>
      <c r="D1525" s="49">
        <v>45862</v>
      </c>
      <c r="E1525" s="10">
        <v>46</v>
      </c>
    </row>
    <row r="1526" spans="2:5">
      <c r="B1526" t="s">
        <v>6</v>
      </c>
      <c r="C1526" s="48" t="s">
        <v>7</v>
      </c>
      <c r="D1526" s="49">
        <v>45862</v>
      </c>
      <c r="E1526" s="10">
        <v>31</v>
      </c>
    </row>
    <row r="1527" spans="2:5">
      <c r="B1527" t="s">
        <v>22</v>
      </c>
      <c r="C1527" s="48" t="s">
        <v>23</v>
      </c>
      <c r="D1527" s="49">
        <v>45862</v>
      </c>
      <c r="E1527" s="10">
        <v>30</v>
      </c>
    </row>
    <row r="1528" spans="2:5">
      <c r="B1528" t="s">
        <v>24</v>
      </c>
      <c r="C1528" s="48" t="s">
        <v>25</v>
      </c>
      <c r="D1528" s="49">
        <v>45862</v>
      </c>
      <c r="E1528" s="10">
        <v>26</v>
      </c>
    </row>
    <row r="1529" spans="2:5">
      <c r="B1529" t="s">
        <v>18</v>
      </c>
      <c r="C1529" s="48" t="s">
        <v>19</v>
      </c>
      <c r="D1529" s="49">
        <v>45862</v>
      </c>
      <c r="E1529" s="10">
        <v>20</v>
      </c>
    </row>
    <row r="1530" spans="2:5">
      <c r="B1530" t="s">
        <v>16</v>
      </c>
      <c r="C1530" s="48" t="s">
        <v>17</v>
      </c>
      <c r="D1530" s="49">
        <v>45862</v>
      </c>
      <c r="E1530" s="10">
        <v>15</v>
      </c>
    </row>
    <row r="1531" spans="2:5">
      <c r="B1531" t="s">
        <v>20</v>
      </c>
      <c r="C1531" s="48" t="s">
        <v>21</v>
      </c>
      <c r="D1531" s="49">
        <v>45862</v>
      </c>
      <c r="E1531" s="10">
        <v>11</v>
      </c>
    </row>
    <row r="1532" spans="2:5">
      <c r="B1532" t="s">
        <v>6</v>
      </c>
      <c r="C1532" s="48" t="s">
        <v>7</v>
      </c>
      <c r="D1532" s="49">
        <v>45863</v>
      </c>
      <c r="E1532" s="10">
        <v>108</v>
      </c>
    </row>
    <row r="1533" spans="2:5">
      <c r="B1533" t="s">
        <v>8</v>
      </c>
      <c r="C1533" s="48" t="s">
        <v>9</v>
      </c>
      <c r="D1533" s="49">
        <v>45863</v>
      </c>
      <c r="E1533" s="10">
        <v>73</v>
      </c>
    </row>
    <row r="1534" spans="2:5">
      <c r="B1534" t="s">
        <v>12</v>
      </c>
      <c r="C1534" s="48" t="s">
        <v>13</v>
      </c>
      <c r="D1534" s="49">
        <v>45863</v>
      </c>
      <c r="E1534" s="10">
        <v>57</v>
      </c>
    </row>
    <row r="1535" spans="2:5">
      <c r="B1535" t="s">
        <v>24</v>
      </c>
      <c r="C1535" s="48" t="s">
        <v>25</v>
      </c>
      <c r="D1535" s="49">
        <v>45863</v>
      </c>
      <c r="E1535" s="10">
        <v>41</v>
      </c>
    </row>
    <row r="1536" spans="2:5">
      <c r="B1536" t="s">
        <v>20</v>
      </c>
      <c r="C1536" s="48" t="s">
        <v>21</v>
      </c>
      <c r="D1536" s="49">
        <v>45863</v>
      </c>
      <c r="E1536" s="10">
        <v>26</v>
      </c>
    </row>
    <row r="1537" spans="2:5">
      <c r="B1537" t="s">
        <v>16</v>
      </c>
      <c r="C1537" s="48" t="s">
        <v>17</v>
      </c>
      <c r="D1537" s="49">
        <v>45863</v>
      </c>
      <c r="E1537" s="10">
        <v>14</v>
      </c>
    </row>
    <row r="1538" spans="2:5">
      <c r="B1538" t="s">
        <v>18</v>
      </c>
      <c r="C1538" s="48" t="s">
        <v>19</v>
      </c>
      <c r="D1538" s="49">
        <v>45863</v>
      </c>
      <c r="E1538" s="10">
        <v>6</v>
      </c>
    </row>
    <row r="1539" spans="2:5">
      <c r="B1539" t="s">
        <v>10</v>
      </c>
      <c r="C1539" s="48" t="s">
        <v>11</v>
      </c>
      <c r="D1539" s="49">
        <v>45863</v>
      </c>
      <c r="E1539" s="10">
        <v>2</v>
      </c>
    </row>
    <row r="1540" spans="2:5">
      <c r="B1540" t="s">
        <v>4</v>
      </c>
      <c r="C1540" s="48" t="s">
        <v>5</v>
      </c>
      <c r="D1540" s="49">
        <v>45866</v>
      </c>
      <c r="E1540" s="10">
        <v>1006.5</v>
      </c>
    </row>
    <row r="1541" spans="2:5">
      <c r="B1541" t="s">
        <v>31</v>
      </c>
      <c r="C1541" s="48" t="s">
        <v>32</v>
      </c>
      <c r="D1541" s="49">
        <v>45866</v>
      </c>
      <c r="E1541" s="10">
        <v>120.65</v>
      </c>
    </row>
    <row r="1542" spans="2:5">
      <c r="B1542" t="s">
        <v>8</v>
      </c>
      <c r="C1542" s="48" t="s">
        <v>9</v>
      </c>
      <c r="D1542" s="49">
        <v>45866</v>
      </c>
      <c r="E1542" s="10">
        <v>98</v>
      </c>
    </row>
    <row r="1543" spans="2:5">
      <c r="B1543" t="s">
        <v>10</v>
      </c>
      <c r="C1543" s="48" t="s">
        <v>11</v>
      </c>
      <c r="D1543" s="49">
        <v>45866</v>
      </c>
      <c r="E1543" s="10">
        <v>45</v>
      </c>
    </row>
    <row r="1544" spans="2:5">
      <c r="B1544" t="s">
        <v>16</v>
      </c>
      <c r="C1544" s="48" t="s">
        <v>17</v>
      </c>
      <c r="D1544" s="49">
        <v>45866</v>
      </c>
      <c r="E1544" s="10">
        <v>42</v>
      </c>
    </row>
    <row r="1545" spans="2:5">
      <c r="B1545" t="s">
        <v>33</v>
      </c>
      <c r="C1545" s="48" t="s">
        <v>34</v>
      </c>
      <c r="D1545" s="49">
        <v>45866</v>
      </c>
      <c r="E1545" s="10">
        <v>35</v>
      </c>
    </row>
    <row r="1546" spans="2:5">
      <c r="B1546" t="s">
        <v>24</v>
      </c>
      <c r="C1546" s="48" t="s">
        <v>25</v>
      </c>
      <c r="D1546" s="49">
        <v>45866</v>
      </c>
      <c r="E1546" s="10">
        <v>32</v>
      </c>
    </row>
    <row r="1547" spans="2:5">
      <c r="B1547" t="s">
        <v>6</v>
      </c>
      <c r="C1547" s="48" t="s">
        <v>7</v>
      </c>
      <c r="D1547" s="49">
        <v>45866</v>
      </c>
      <c r="E1547" s="10">
        <v>31</v>
      </c>
    </row>
    <row r="1548" spans="2:5">
      <c r="B1548" t="s">
        <v>20</v>
      </c>
      <c r="C1548" s="48" t="s">
        <v>21</v>
      </c>
      <c r="D1548" s="49">
        <v>45866</v>
      </c>
      <c r="E1548" s="10">
        <v>17</v>
      </c>
    </row>
    <row r="1549" spans="2:5">
      <c r="B1549" t="s">
        <v>37</v>
      </c>
      <c r="C1549" s="48" t="s">
        <v>38</v>
      </c>
      <c r="D1549" s="49">
        <v>45866</v>
      </c>
      <c r="E1549" s="10">
        <v>12</v>
      </c>
    </row>
    <row r="1550" spans="2:5">
      <c r="B1550" t="s">
        <v>12</v>
      </c>
      <c r="C1550" s="48" t="s">
        <v>13</v>
      </c>
      <c r="D1550" s="49">
        <v>45866</v>
      </c>
      <c r="E1550" s="10">
        <v>10</v>
      </c>
    </row>
    <row r="1551" spans="2:5">
      <c r="B1551" t="s">
        <v>14</v>
      </c>
      <c r="C1551" s="48" t="s">
        <v>15</v>
      </c>
      <c r="D1551" s="49">
        <v>45866</v>
      </c>
      <c r="E1551" s="10">
        <v>2</v>
      </c>
    </row>
    <row r="1552" spans="2:5">
      <c r="B1552" t="s">
        <v>4</v>
      </c>
      <c r="C1552" s="48" t="s">
        <v>5</v>
      </c>
      <c r="D1552" s="49">
        <v>45867</v>
      </c>
      <c r="E1552" s="10">
        <v>127</v>
      </c>
    </row>
    <row r="1553" spans="2:5">
      <c r="B1553" t="s">
        <v>6</v>
      </c>
      <c r="C1553" s="48" t="s">
        <v>7</v>
      </c>
      <c r="D1553" s="49">
        <v>45867</v>
      </c>
      <c r="E1553" s="10">
        <v>78</v>
      </c>
    </row>
    <row r="1554" spans="2:5">
      <c r="B1554" t="s">
        <v>24</v>
      </c>
      <c r="C1554" s="48" t="s">
        <v>25</v>
      </c>
      <c r="D1554" s="49">
        <v>45867</v>
      </c>
      <c r="E1554" s="10">
        <v>70</v>
      </c>
    </row>
    <row r="1555" spans="2:5">
      <c r="B1555" t="s">
        <v>12</v>
      </c>
      <c r="C1555" s="48" t="s">
        <v>13</v>
      </c>
      <c r="D1555" s="49">
        <v>45867</v>
      </c>
      <c r="E1555" s="10">
        <v>45</v>
      </c>
    </row>
    <row r="1556" spans="2:5">
      <c r="B1556" t="s">
        <v>8</v>
      </c>
      <c r="C1556" s="48" t="s">
        <v>9</v>
      </c>
      <c r="D1556" s="49">
        <v>45867</v>
      </c>
      <c r="E1556" s="10">
        <v>41</v>
      </c>
    </row>
    <row r="1557" spans="2:5">
      <c r="B1557" t="s">
        <v>37</v>
      </c>
      <c r="C1557" s="48" t="s">
        <v>38</v>
      </c>
      <c r="D1557" s="49">
        <v>45867</v>
      </c>
      <c r="E1557" s="10">
        <v>26</v>
      </c>
    </row>
    <row r="1558" spans="2:5">
      <c r="B1558" t="s">
        <v>14</v>
      </c>
      <c r="C1558" s="48" t="s">
        <v>15</v>
      </c>
      <c r="D1558" s="49">
        <v>45867</v>
      </c>
      <c r="E1558" s="10">
        <v>19</v>
      </c>
    </row>
    <row r="1559" spans="2:5">
      <c r="B1559" t="s">
        <v>16</v>
      </c>
      <c r="C1559" s="48" t="s">
        <v>17</v>
      </c>
      <c r="D1559" s="49">
        <v>45867</v>
      </c>
      <c r="E1559" s="10">
        <v>19</v>
      </c>
    </row>
    <row r="1560" spans="2:5">
      <c r="B1560" t="s">
        <v>22</v>
      </c>
      <c r="C1560" s="48" t="s">
        <v>23</v>
      </c>
      <c r="D1560" s="49">
        <v>45867</v>
      </c>
      <c r="E1560" s="10">
        <v>12</v>
      </c>
    </row>
    <row r="1561" spans="2:5">
      <c r="B1561" t="s">
        <v>10</v>
      </c>
      <c r="C1561" s="48" t="s">
        <v>11</v>
      </c>
      <c r="D1561" s="49">
        <v>45867</v>
      </c>
      <c r="E1561" s="10">
        <v>12</v>
      </c>
    </row>
    <row r="1562" spans="2:5">
      <c r="B1562" t="s">
        <v>18</v>
      </c>
      <c r="C1562" s="48" t="s">
        <v>19</v>
      </c>
      <c r="D1562" s="49">
        <v>45867</v>
      </c>
      <c r="E1562" s="10">
        <v>11</v>
      </c>
    </row>
    <row r="1563" spans="2:5">
      <c r="B1563" t="s">
        <v>35</v>
      </c>
      <c r="C1563" s="48" t="s">
        <v>36</v>
      </c>
      <c r="D1563" s="49">
        <v>45867</v>
      </c>
      <c r="E1563" s="10">
        <v>8</v>
      </c>
    </row>
    <row r="1564" spans="2:5">
      <c r="B1564" t="s">
        <v>4</v>
      </c>
      <c r="C1564" s="48" t="s">
        <v>5</v>
      </c>
      <c r="D1564" s="49">
        <v>45868</v>
      </c>
      <c r="E1564" s="10">
        <v>627.78</v>
      </c>
    </row>
    <row r="1565" spans="2:5">
      <c r="B1565" t="s">
        <v>8</v>
      </c>
      <c r="C1565" s="48" t="s">
        <v>9</v>
      </c>
      <c r="D1565" s="49">
        <v>45868</v>
      </c>
      <c r="E1565" s="10">
        <v>81</v>
      </c>
    </row>
    <row r="1566" spans="2:5">
      <c r="B1566" t="s">
        <v>31</v>
      </c>
      <c r="C1566" s="48" t="s">
        <v>32</v>
      </c>
      <c r="D1566" s="49">
        <v>45868</v>
      </c>
      <c r="E1566" s="10">
        <v>61.2</v>
      </c>
    </row>
    <row r="1567" spans="2:5">
      <c r="B1567" t="s">
        <v>6</v>
      </c>
      <c r="C1567" s="48" t="s">
        <v>7</v>
      </c>
      <c r="D1567" s="49">
        <v>45868</v>
      </c>
      <c r="E1567" s="10">
        <v>55</v>
      </c>
    </row>
    <row r="1568" spans="2:5">
      <c r="B1568" t="s">
        <v>12</v>
      </c>
      <c r="C1568" s="48" t="s">
        <v>13</v>
      </c>
      <c r="D1568" s="49">
        <v>45868</v>
      </c>
      <c r="E1568" s="10">
        <v>46</v>
      </c>
    </row>
    <row r="1569" spans="2:5">
      <c r="B1569" t="s">
        <v>20</v>
      </c>
      <c r="C1569" s="48" t="s">
        <v>21</v>
      </c>
      <c r="D1569" s="49">
        <v>45868</v>
      </c>
      <c r="E1569" s="10">
        <v>38</v>
      </c>
    </row>
    <row r="1570" spans="2:5">
      <c r="B1570" t="s">
        <v>35</v>
      </c>
      <c r="C1570" s="48" t="s">
        <v>36</v>
      </c>
      <c r="D1570" s="49">
        <v>45868</v>
      </c>
      <c r="E1570" s="10">
        <v>32</v>
      </c>
    </row>
    <row r="1571" spans="2:5">
      <c r="B1571" t="s">
        <v>24</v>
      </c>
      <c r="C1571" s="48" t="s">
        <v>25</v>
      </c>
      <c r="D1571" s="49">
        <v>45868</v>
      </c>
      <c r="E1571" s="10">
        <v>19</v>
      </c>
    </row>
    <row r="1572" spans="2:5">
      <c r="B1572" t="s">
        <v>16</v>
      </c>
      <c r="C1572" s="48" t="s">
        <v>17</v>
      </c>
      <c r="D1572" s="49">
        <v>45868</v>
      </c>
      <c r="E1572" s="10">
        <v>18</v>
      </c>
    </row>
    <row r="1573" spans="2:5">
      <c r="B1573" t="s">
        <v>37</v>
      </c>
      <c r="C1573" s="48" t="s">
        <v>38</v>
      </c>
      <c r="D1573" s="49">
        <v>45868</v>
      </c>
      <c r="E1573" s="10">
        <v>16</v>
      </c>
    </row>
    <row r="1574" spans="2:5">
      <c r="B1574" t="s">
        <v>10</v>
      </c>
      <c r="C1574" s="48" t="s">
        <v>11</v>
      </c>
      <c r="D1574" s="49">
        <v>45868</v>
      </c>
      <c r="E1574" s="10">
        <v>12</v>
      </c>
    </row>
    <row r="1575" spans="2:5">
      <c r="B1575" t="s">
        <v>14</v>
      </c>
      <c r="C1575" s="48" t="s">
        <v>15</v>
      </c>
      <c r="D1575" s="49">
        <v>45868</v>
      </c>
      <c r="E1575" s="10">
        <v>6</v>
      </c>
    </row>
    <row r="1576" spans="2:5">
      <c r="B1576" t="s">
        <v>4</v>
      </c>
      <c r="C1576" s="48" t="s">
        <v>5</v>
      </c>
      <c r="D1576" s="49">
        <v>45869</v>
      </c>
      <c r="E1576" s="10">
        <v>1140.72</v>
      </c>
    </row>
    <row r="1577" spans="2:5">
      <c r="B1577" t="s">
        <v>8</v>
      </c>
      <c r="C1577" s="48" t="s">
        <v>9</v>
      </c>
      <c r="D1577" s="49">
        <v>45869</v>
      </c>
      <c r="E1577" s="10">
        <v>139</v>
      </c>
    </row>
    <row r="1578" spans="2:5">
      <c r="B1578" t="s">
        <v>6</v>
      </c>
      <c r="C1578" s="48" t="s">
        <v>7</v>
      </c>
      <c r="D1578" s="49">
        <v>45869</v>
      </c>
      <c r="E1578" s="10">
        <v>120</v>
      </c>
    </row>
    <row r="1579" spans="2:5">
      <c r="B1579" t="s">
        <v>12</v>
      </c>
      <c r="C1579" s="48" t="s">
        <v>13</v>
      </c>
      <c r="D1579" s="49">
        <v>45869</v>
      </c>
      <c r="E1579" s="10">
        <v>75</v>
      </c>
    </row>
    <row r="1580" spans="2:5">
      <c r="B1580" t="s">
        <v>35</v>
      </c>
      <c r="C1580" s="48" t="s">
        <v>36</v>
      </c>
      <c r="D1580" s="49">
        <v>45869</v>
      </c>
      <c r="E1580" s="10">
        <v>60</v>
      </c>
    </row>
    <row r="1581" spans="2:5">
      <c r="B1581" t="s">
        <v>37</v>
      </c>
      <c r="C1581" s="48" t="s">
        <v>38</v>
      </c>
      <c r="D1581" s="49">
        <v>45869</v>
      </c>
      <c r="E1581" s="10">
        <v>52</v>
      </c>
    </row>
    <row r="1582" spans="2:5">
      <c r="B1582" t="s">
        <v>10</v>
      </c>
      <c r="C1582" s="48" t="s">
        <v>11</v>
      </c>
      <c r="D1582" s="49">
        <v>45869</v>
      </c>
      <c r="E1582" s="10">
        <v>24</v>
      </c>
    </row>
    <row r="1583" spans="2:5">
      <c r="B1583" t="s">
        <v>16</v>
      </c>
      <c r="C1583" s="48" t="s">
        <v>17</v>
      </c>
      <c r="D1583" s="49">
        <v>45869</v>
      </c>
      <c r="E1583" s="10">
        <v>23</v>
      </c>
    </row>
    <row r="1584" spans="2:5">
      <c r="B1584" t="s">
        <v>24</v>
      </c>
      <c r="C1584" s="48" t="s">
        <v>25</v>
      </c>
      <c r="D1584" s="49">
        <v>45869</v>
      </c>
      <c r="E1584" s="10">
        <v>11</v>
      </c>
    </row>
    <row r="1585" spans="2:5">
      <c r="B1585" t="s">
        <v>16</v>
      </c>
      <c r="C1585" s="48" t="s">
        <v>17</v>
      </c>
      <c r="D1585" s="49">
        <v>45870</v>
      </c>
      <c r="E1585" s="10">
        <v>108</v>
      </c>
    </row>
    <row r="1586" spans="2:5">
      <c r="B1586" t="s">
        <v>8</v>
      </c>
      <c r="C1586" s="48" t="s">
        <v>9</v>
      </c>
      <c r="D1586" s="49">
        <v>45870</v>
      </c>
      <c r="E1586" s="10">
        <v>103</v>
      </c>
    </row>
    <row r="1587" spans="2:5">
      <c r="B1587" t="s">
        <v>4</v>
      </c>
      <c r="C1587" s="48" t="s">
        <v>5</v>
      </c>
      <c r="D1587" s="49">
        <v>45870</v>
      </c>
      <c r="E1587" s="10">
        <v>82.2</v>
      </c>
    </row>
    <row r="1588" spans="2:5">
      <c r="B1588" t="s">
        <v>12</v>
      </c>
      <c r="C1588" s="48" t="s">
        <v>13</v>
      </c>
      <c r="D1588" s="49">
        <v>45870</v>
      </c>
      <c r="E1588" s="10">
        <v>54</v>
      </c>
    </row>
    <row r="1589" spans="2:5">
      <c r="B1589" t="s">
        <v>10</v>
      </c>
      <c r="C1589" s="48" t="s">
        <v>11</v>
      </c>
      <c r="D1589" s="49">
        <v>45870</v>
      </c>
      <c r="E1589" s="10">
        <v>33</v>
      </c>
    </row>
    <row r="1590" spans="2:5">
      <c r="B1590" t="s">
        <v>35</v>
      </c>
      <c r="C1590" s="48" t="s">
        <v>36</v>
      </c>
      <c r="D1590" s="49">
        <v>45870</v>
      </c>
      <c r="E1590" s="10">
        <v>28</v>
      </c>
    </row>
    <row r="1591" spans="2:5">
      <c r="B1591" t="s">
        <v>22</v>
      </c>
      <c r="C1591" s="48" t="s">
        <v>23</v>
      </c>
      <c r="D1591" s="49">
        <v>45870</v>
      </c>
      <c r="E1591" s="10">
        <v>27</v>
      </c>
    </row>
    <row r="1592" spans="2:5">
      <c r="B1592" t="s">
        <v>6</v>
      </c>
      <c r="C1592" s="48" t="s">
        <v>7</v>
      </c>
      <c r="D1592" s="49">
        <v>45870</v>
      </c>
      <c r="E1592" s="10">
        <v>27</v>
      </c>
    </row>
    <row r="1593" spans="2:5">
      <c r="B1593" t="s">
        <v>37</v>
      </c>
      <c r="C1593" s="48" t="s">
        <v>38</v>
      </c>
      <c r="D1593" s="49">
        <v>45870</v>
      </c>
      <c r="E1593" s="10">
        <v>16</v>
      </c>
    </row>
    <row r="1594" spans="2:5">
      <c r="B1594" t="s">
        <v>40</v>
      </c>
      <c r="C1594" s="48" t="s">
        <v>41</v>
      </c>
      <c r="D1594" s="49">
        <v>45870</v>
      </c>
      <c r="E1594" s="10">
        <v>8</v>
      </c>
    </row>
    <row r="1595" spans="2:5">
      <c r="B1595" t="s">
        <v>18</v>
      </c>
      <c r="C1595" s="48" t="s">
        <v>19</v>
      </c>
      <c r="D1595" s="49">
        <v>45870</v>
      </c>
      <c r="E1595" s="10">
        <v>2</v>
      </c>
    </row>
    <row r="1596" spans="2:5">
      <c r="B1596" t="s">
        <v>4</v>
      </c>
      <c r="C1596" s="48" t="s">
        <v>5</v>
      </c>
      <c r="D1596" s="49">
        <v>45873</v>
      </c>
      <c r="E1596" s="10">
        <v>275.55</v>
      </c>
    </row>
    <row r="1597" spans="2:5">
      <c r="B1597" t="s">
        <v>8</v>
      </c>
      <c r="C1597" s="48" t="s">
        <v>9</v>
      </c>
      <c r="D1597" s="49">
        <v>45873</v>
      </c>
      <c r="E1597" s="10">
        <v>116</v>
      </c>
    </row>
    <row r="1598" spans="2:5">
      <c r="B1598" t="s">
        <v>12</v>
      </c>
      <c r="C1598" s="48" t="s">
        <v>13</v>
      </c>
      <c r="D1598" s="49">
        <v>45873</v>
      </c>
      <c r="E1598" s="10">
        <v>53</v>
      </c>
    </row>
    <row r="1599" spans="2:5">
      <c r="B1599" t="s">
        <v>18</v>
      </c>
      <c r="C1599" s="48" t="s">
        <v>19</v>
      </c>
      <c r="D1599" s="49">
        <v>45873</v>
      </c>
      <c r="E1599" s="10">
        <v>29</v>
      </c>
    </row>
    <row r="1600" spans="2:5">
      <c r="B1600" t="s">
        <v>14</v>
      </c>
      <c r="C1600" s="48" t="s">
        <v>15</v>
      </c>
      <c r="D1600" s="49">
        <v>45873</v>
      </c>
      <c r="E1600" s="10">
        <v>24</v>
      </c>
    </row>
    <row r="1601" spans="2:5">
      <c r="B1601" t="s">
        <v>37</v>
      </c>
      <c r="C1601" s="48" t="s">
        <v>38</v>
      </c>
      <c r="D1601" s="49">
        <v>45873</v>
      </c>
      <c r="E1601" s="10">
        <v>20</v>
      </c>
    </row>
    <row r="1602" spans="2:5">
      <c r="B1602" t="s">
        <v>6</v>
      </c>
      <c r="C1602" s="48" t="s">
        <v>7</v>
      </c>
      <c r="D1602" s="49">
        <v>45873</v>
      </c>
      <c r="E1602" s="10">
        <v>19</v>
      </c>
    </row>
    <row r="1603" spans="2:5">
      <c r="B1603" t="s">
        <v>22</v>
      </c>
      <c r="C1603" s="48" t="s">
        <v>23</v>
      </c>
      <c r="D1603" s="49">
        <v>45873</v>
      </c>
      <c r="E1603" s="10">
        <v>16</v>
      </c>
    </row>
    <row r="1604" spans="2:5">
      <c r="B1604" t="s">
        <v>16</v>
      </c>
      <c r="C1604" s="48" t="s">
        <v>17</v>
      </c>
      <c r="D1604" s="49">
        <v>45873</v>
      </c>
      <c r="E1604" s="10">
        <v>14</v>
      </c>
    </row>
    <row r="1605" spans="2:5">
      <c r="B1605" t="s">
        <v>33</v>
      </c>
      <c r="C1605" s="48" t="s">
        <v>34</v>
      </c>
      <c r="D1605" s="49">
        <v>45873</v>
      </c>
      <c r="E1605" s="10">
        <v>12</v>
      </c>
    </row>
    <row r="1606" spans="2:5">
      <c r="B1606" t="s">
        <v>10</v>
      </c>
      <c r="C1606" s="48" t="s">
        <v>11</v>
      </c>
      <c r="D1606" s="49">
        <v>45873</v>
      </c>
      <c r="E1606" s="10">
        <v>11</v>
      </c>
    </row>
    <row r="1607" spans="2:5">
      <c r="B1607" t="s">
        <v>20</v>
      </c>
      <c r="C1607" s="48" t="s">
        <v>21</v>
      </c>
      <c r="D1607" s="49">
        <v>45873</v>
      </c>
      <c r="E1607" s="10">
        <v>4</v>
      </c>
    </row>
    <row r="1608" spans="2:5">
      <c r="B1608" t="s">
        <v>4</v>
      </c>
      <c r="C1608" s="48" t="s">
        <v>5</v>
      </c>
      <c r="D1608" s="49">
        <v>45874</v>
      </c>
      <c r="E1608" s="10">
        <v>416.98</v>
      </c>
    </row>
    <row r="1609" spans="2:5">
      <c r="B1609" t="s">
        <v>6</v>
      </c>
      <c r="C1609" s="48" t="s">
        <v>7</v>
      </c>
      <c r="D1609" s="49">
        <v>45874</v>
      </c>
      <c r="E1609" s="10">
        <v>116</v>
      </c>
    </row>
    <row r="1610" spans="2:5">
      <c r="B1610" t="s">
        <v>10</v>
      </c>
      <c r="C1610" s="48" t="s">
        <v>11</v>
      </c>
      <c r="D1610" s="49">
        <v>45874</v>
      </c>
      <c r="E1610" s="10">
        <v>88</v>
      </c>
    </row>
    <row r="1611" spans="2:5">
      <c r="B1611" t="s">
        <v>8</v>
      </c>
      <c r="C1611" s="48" t="s">
        <v>9</v>
      </c>
      <c r="D1611" s="49">
        <v>45874</v>
      </c>
      <c r="E1611" s="10">
        <v>88</v>
      </c>
    </row>
    <row r="1612" spans="2:5">
      <c r="B1612" t="s">
        <v>16</v>
      </c>
      <c r="C1612" s="48" t="s">
        <v>17</v>
      </c>
      <c r="D1612" s="49">
        <v>45874</v>
      </c>
      <c r="E1612" s="10">
        <v>66</v>
      </c>
    </row>
    <row r="1613" spans="2:5">
      <c r="B1613" t="s">
        <v>12</v>
      </c>
      <c r="C1613" s="48" t="s">
        <v>13</v>
      </c>
      <c r="D1613" s="49">
        <v>45874</v>
      </c>
      <c r="E1613" s="10">
        <v>31</v>
      </c>
    </row>
    <row r="1614" spans="2:5">
      <c r="B1614" t="s">
        <v>35</v>
      </c>
      <c r="C1614" s="48" t="s">
        <v>36</v>
      </c>
      <c r="D1614" s="49">
        <v>45874</v>
      </c>
      <c r="E1614" s="10">
        <v>15</v>
      </c>
    </row>
    <row r="1615" spans="2:5">
      <c r="B1615" t="s">
        <v>37</v>
      </c>
      <c r="C1615" s="48" t="s">
        <v>38</v>
      </c>
      <c r="D1615" s="49">
        <v>45874</v>
      </c>
      <c r="E1615" s="10">
        <v>13</v>
      </c>
    </row>
    <row r="1616" spans="2:5">
      <c r="B1616" t="s">
        <v>20</v>
      </c>
      <c r="C1616" s="48" t="s">
        <v>21</v>
      </c>
      <c r="D1616" s="49">
        <v>45874</v>
      </c>
      <c r="E1616" s="10">
        <v>2</v>
      </c>
    </row>
    <row r="1617" spans="2:5">
      <c r="B1617" t="s">
        <v>31</v>
      </c>
      <c r="C1617" s="48" t="s">
        <v>32</v>
      </c>
      <c r="D1617" s="49">
        <v>45875</v>
      </c>
      <c r="E1617" s="10">
        <v>193</v>
      </c>
    </row>
    <row r="1618" spans="2:5">
      <c r="B1618" t="s">
        <v>12</v>
      </c>
      <c r="C1618" s="48" t="s">
        <v>13</v>
      </c>
      <c r="D1618" s="49">
        <v>45875</v>
      </c>
      <c r="E1618" s="10">
        <v>139</v>
      </c>
    </row>
    <row r="1619" spans="2:5">
      <c r="B1619" t="s">
        <v>8</v>
      </c>
      <c r="C1619" s="48" t="s">
        <v>9</v>
      </c>
      <c r="D1619" s="49">
        <v>45875</v>
      </c>
      <c r="E1619" s="10">
        <v>124</v>
      </c>
    </row>
    <row r="1620" spans="2:5">
      <c r="B1620" t="s">
        <v>20</v>
      </c>
      <c r="C1620" s="48" t="s">
        <v>21</v>
      </c>
      <c r="D1620" s="49">
        <v>45875</v>
      </c>
      <c r="E1620" s="10">
        <v>105</v>
      </c>
    </row>
    <row r="1621" spans="2:5">
      <c r="B1621" t="s">
        <v>6</v>
      </c>
      <c r="C1621" s="48" t="s">
        <v>7</v>
      </c>
      <c r="D1621" s="49">
        <v>45875</v>
      </c>
      <c r="E1621" s="10">
        <v>95</v>
      </c>
    </row>
    <row r="1622" spans="2:5">
      <c r="B1622" t="s">
        <v>4</v>
      </c>
      <c r="C1622" s="48" t="s">
        <v>5</v>
      </c>
      <c r="D1622" s="49">
        <v>45875</v>
      </c>
      <c r="E1622" s="10">
        <v>76</v>
      </c>
    </row>
    <row r="1623" spans="2:5">
      <c r="B1623" t="s">
        <v>18</v>
      </c>
      <c r="C1623" s="48" t="s">
        <v>19</v>
      </c>
      <c r="D1623" s="49">
        <v>45875</v>
      </c>
      <c r="E1623" s="10">
        <v>41</v>
      </c>
    </row>
    <row r="1624" spans="2:5">
      <c r="B1624" t="s">
        <v>24</v>
      </c>
      <c r="C1624" s="48" t="s">
        <v>25</v>
      </c>
      <c r="D1624" s="49">
        <v>45875</v>
      </c>
      <c r="E1624" s="10">
        <v>34</v>
      </c>
    </row>
    <row r="1625" spans="2:5">
      <c r="B1625" t="s">
        <v>37</v>
      </c>
      <c r="C1625" s="48" t="s">
        <v>38</v>
      </c>
      <c r="D1625" s="49">
        <v>45875</v>
      </c>
      <c r="E1625" s="10">
        <v>30</v>
      </c>
    </row>
    <row r="1626" spans="2:5">
      <c r="B1626" t="s">
        <v>22</v>
      </c>
      <c r="C1626" s="48" t="s">
        <v>23</v>
      </c>
      <c r="D1626" s="49">
        <v>45875</v>
      </c>
      <c r="E1626" s="10">
        <v>29</v>
      </c>
    </row>
    <row r="1627" spans="2:5">
      <c r="B1627" t="s">
        <v>16</v>
      </c>
      <c r="C1627" s="48" t="s">
        <v>17</v>
      </c>
      <c r="D1627" s="49">
        <v>45875</v>
      </c>
      <c r="E1627" s="10">
        <v>29</v>
      </c>
    </row>
    <row r="1628" spans="2:5">
      <c r="B1628" t="s">
        <v>14</v>
      </c>
      <c r="C1628" s="48" t="s">
        <v>15</v>
      </c>
      <c r="D1628" s="49">
        <v>45875</v>
      </c>
      <c r="E1628" s="10">
        <v>25</v>
      </c>
    </row>
    <row r="1629" spans="2:5">
      <c r="B1629" t="s">
        <v>33</v>
      </c>
      <c r="C1629" s="48" t="s">
        <v>34</v>
      </c>
      <c r="D1629" s="49">
        <v>45875</v>
      </c>
      <c r="E1629" s="10">
        <v>20</v>
      </c>
    </row>
    <row r="1630" spans="2:5">
      <c r="B1630" t="s">
        <v>10</v>
      </c>
      <c r="C1630" s="48" t="s">
        <v>11</v>
      </c>
      <c r="D1630" s="49">
        <v>45875</v>
      </c>
      <c r="E1630" s="10">
        <v>8</v>
      </c>
    </row>
    <row r="1631" spans="2:5">
      <c r="B1631" t="s">
        <v>4</v>
      </c>
      <c r="C1631" s="48" t="s">
        <v>5</v>
      </c>
      <c r="D1631" s="49">
        <v>45876</v>
      </c>
      <c r="E1631" s="10">
        <v>1078.45</v>
      </c>
    </row>
    <row r="1632" spans="2:5">
      <c r="B1632" t="s">
        <v>31</v>
      </c>
      <c r="C1632" s="48" t="s">
        <v>32</v>
      </c>
      <c r="D1632" s="49">
        <v>45876</v>
      </c>
      <c r="E1632" s="10">
        <v>111.3</v>
      </c>
    </row>
    <row r="1633" spans="2:5">
      <c r="B1633" t="s">
        <v>8</v>
      </c>
      <c r="C1633" s="48" t="s">
        <v>9</v>
      </c>
      <c r="D1633" s="49">
        <v>45876</v>
      </c>
      <c r="E1633" s="10">
        <v>53</v>
      </c>
    </row>
    <row r="1634" spans="2:5">
      <c r="B1634" t="s">
        <v>35</v>
      </c>
      <c r="C1634" s="48" t="s">
        <v>36</v>
      </c>
      <c r="D1634" s="49">
        <v>45876</v>
      </c>
      <c r="E1634" s="10">
        <v>48</v>
      </c>
    </row>
    <row r="1635" spans="2:5">
      <c r="B1635" t="s">
        <v>6</v>
      </c>
      <c r="C1635" s="48" t="s">
        <v>7</v>
      </c>
      <c r="D1635" s="49">
        <v>45876</v>
      </c>
      <c r="E1635" s="10">
        <v>31</v>
      </c>
    </row>
    <row r="1636" spans="2:5">
      <c r="B1636" t="s">
        <v>16</v>
      </c>
      <c r="C1636" s="48" t="s">
        <v>17</v>
      </c>
      <c r="D1636" s="49">
        <v>45876</v>
      </c>
      <c r="E1636" s="10">
        <v>25</v>
      </c>
    </row>
    <row r="1637" spans="2:5">
      <c r="B1637" t="s">
        <v>12</v>
      </c>
      <c r="C1637" s="48" t="s">
        <v>13</v>
      </c>
      <c r="D1637" s="49">
        <v>45876</v>
      </c>
      <c r="E1637" s="10">
        <v>21</v>
      </c>
    </row>
    <row r="1638" spans="2:5">
      <c r="B1638" t="s">
        <v>18</v>
      </c>
      <c r="C1638" s="48" t="s">
        <v>19</v>
      </c>
      <c r="D1638" s="49">
        <v>45876</v>
      </c>
      <c r="E1638" s="10">
        <v>13</v>
      </c>
    </row>
    <row r="1639" spans="2:5">
      <c r="B1639" t="s">
        <v>24</v>
      </c>
      <c r="C1639" s="48" t="s">
        <v>25</v>
      </c>
      <c r="D1639" s="49">
        <v>45876</v>
      </c>
      <c r="E1639" s="10">
        <v>3</v>
      </c>
    </row>
    <row r="1640" spans="2:5">
      <c r="B1640" t="s">
        <v>8</v>
      </c>
      <c r="C1640" s="48" t="s">
        <v>9</v>
      </c>
      <c r="D1640" s="49">
        <v>45877</v>
      </c>
      <c r="E1640" s="10">
        <v>189</v>
      </c>
    </row>
    <row r="1641" spans="2:5">
      <c r="B1641" t="s">
        <v>4</v>
      </c>
      <c r="C1641" s="48" t="s">
        <v>5</v>
      </c>
      <c r="D1641" s="49">
        <v>45877</v>
      </c>
      <c r="E1641" s="10">
        <v>152.4</v>
      </c>
    </row>
    <row r="1642" spans="2:5">
      <c r="B1642" t="s">
        <v>6</v>
      </c>
      <c r="C1642" s="48" t="s">
        <v>7</v>
      </c>
      <c r="D1642" s="49">
        <v>45877</v>
      </c>
      <c r="E1642" s="10">
        <v>72</v>
      </c>
    </row>
    <row r="1643" spans="2:5">
      <c r="B1643" t="s">
        <v>16</v>
      </c>
      <c r="C1643" s="48" t="s">
        <v>17</v>
      </c>
      <c r="D1643" s="49">
        <v>45877</v>
      </c>
      <c r="E1643" s="10">
        <v>62</v>
      </c>
    </row>
    <row r="1644" spans="2:5">
      <c r="B1644" t="s">
        <v>12</v>
      </c>
      <c r="C1644" s="48" t="s">
        <v>13</v>
      </c>
      <c r="D1644" s="49">
        <v>45877</v>
      </c>
      <c r="E1644" s="10">
        <v>51</v>
      </c>
    </row>
    <row r="1645" spans="2:5">
      <c r="B1645" t="s">
        <v>35</v>
      </c>
      <c r="C1645" s="48" t="s">
        <v>36</v>
      </c>
      <c r="D1645" s="49">
        <v>45877</v>
      </c>
      <c r="E1645" s="10">
        <v>35</v>
      </c>
    </row>
    <row r="1646" spans="2:5">
      <c r="B1646" t="s">
        <v>10</v>
      </c>
      <c r="C1646" s="48" t="s">
        <v>11</v>
      </c>
      <c r="D1646" s="49">
        <v>45877</v>
      </c>
      <c r="E1646" s="10">
        <v>22</v>
      </c>
    </row>
    <row r="1647" spans="2:5">
      <c r="B1647" t="s">
        <v>24</v>
      </c>
      <c r="C1647" s="48" t="s">
        <v>25</v>
      </c>
      <c r="D1647" s="49">
        <v>45877</v>
      </c>
      <c r="E1647" s="10">
        <v>7</v>
      </c>
    </row>
    <row r="1648" spans="2:5">
      <c r="B1648" t="s">
        <v>20</v>
      </c>
      <c r="C1648" s="48" t="s">
        <v>21</v>
      </c>
      <c r="D1648" s="49">
        <v>45877</v>
      </c>
      <c r="E1648" s="10">
        <v>1</v>
      </c>
    </row>
    <row r="1649" spans="2:5">
      <c r="B1649" t="s">
        <v>4</v>
      </c>
      <c r="C1649" s="48" t="s">
        <v>5</v>
      </c>
      <c r="D1649" s="49">
        <v>45880</v>
      </c>
      <c r="E1649" s="10">
        <v>215.9</v>
      </c>
    </row>
    <row r="1650" spans="2:5">
      <c r="B1650" t="s">
        <v>8</v>
      </c>
      <c r="C1650" s="48" t="s">
        <v>9</v>
      </c>
      <c r="D1650" s="49">
        <v>45880</v>
      </c>
      <c r="E1650" s="10">
        <v>79</v>
      </c>
    </row>
    <row r="1651" spans="2:5">
      <c r="B1651" t="s">
        <v>16</v>
      </c>
      <c r="C1651" s="48" t="s">
        <v>17</v>
      </c>
      <c r="D1651" s="49">
        <v>45880</v>
      </c>
      <c r="E1651" s="10">
        <v>60</v>
      </c>
    </row>
    <row r="1652" spans="2:5">
      <c r="B1652" t="s">
        <v>6</v>
      </c>
      <c r="C1652" s="48" t="s">
        <v>7</v>
      </c>
      <c r="D1652" s="49">
        <v>45880</v>
      </c>
      <c r="E1652" s="10">
        <v>55</v>
      </c>
    </row>
    <row r="1653" spans="2:5">
      <c r="B1653" t="s">
        <v>12</v>
      </c>
      <c r="C1653" s="48" t="s">
        <v>13</v>
      </c>
      <c r="D1653" s="49">
        <v>45880</v>
      </c>
      <c r="E1653" s="10">
        <v>48</v>
      </c>
    </row>
    <row r="1654" spans="2:5">
      <c r="B1654" t="s">
        <v>18</v>
      </c>
      <c r="C1654" s="48" t="s">
        <v>19</v>
      </c>
      <c r="D1654" s="49">
        <v>45880</v>
      </c>
      <c r="E1654" s="10">
        <v>39</v>
      </c>
    </row>
    <row r="1655" spans="2:5">
      <c r="B1655" t="s">
        <v>10</v>
      </c>
      <c r="C1655" s="48" t="s">
        <v>11</v>
      </c>
      <c r="D1655" s="49">
        <v>45880</v>
      </c>
      <c r="E1655" s="10">
        <v>19</v>
      </c>
    </row>
    <row r="1656" spans="2:5">
      <c r="B1656" t="s">
        <v>24</v>
      </c>
      <c r="C1656" s="48" t="s">
        <v>25</v>
      </c>
      <c r="D1656" s="49">
        <v>45880</v>
      </c>
      <c r="E1656" s="10">
        <v>15</v>
      </c>
    </row>
    <row r="1657" spans="2:5">
      <c r="B1657" t="s">
        <v>20</v>
      </c>
      <c r="C1657" s="48" t="s">
        <v>21</v>
      </c>
      <c r="D1657" s="49">
        <v>45880</v>
      </c>
      <c r="E1657" s="10">
        <v>13</v>
      </c>
    </row>
    <row r="1658" spans="2:5">
      <c r="B1658" t="s">
        <v>40</v>
      </c>
      <c r="C1658" s="48" t="s">
        <v>41</v>
      </c>
      <c r="D1658" s="49">
        <v>45880</v>
      </c>
      <c r="E1658" s="10">
        <v>8</v>
      </c>
    </row>
    <row r="1659" spans="2:5">
      <c r="B1659" t="s">
        <v>35</v>
      </c>
      <c r="C1659" s="48" t="s">
        <v>36</v>
      </c>
      <c r="D1659" s="49">
        <v>45880</v>
      </c>
      <c r="E1659" s="10">
        <v>4</v>
      </c>
    </row>
    <row r="1660" spans="2:5">
      <c r="B1660" t="s">
        <v>4</v>
      </c>
      <c r="C1660" s="48" t="s">
        <v>5</v>
      </c>
      <c r="D1660" s="49">
        <v>45881</v>
      </c>
      <c r="E1660" s="10">
        <v>250.7</v>
      </c>
    </row>
    <row r="1661" spans="2:5">
      <c r="B1661" t="s">
        <v>10</v>
      </c>
      <c r="C1661" s="48" t="s">
        <v>11</v>
      </c>
      <c r="D1661" s="49">
        <v>45881</v>
      </c>
      <c r="E1661" s="10">
        <v>98</v>
      </c>
    </row>
    <row r="1662" spans="2:5">
      <c r="B1662" t="s">
        <v>6</v>
      </c>
      <c r="C1662" s="48" t="s">
        <v>7</v>
      </c>
      <c r="D1662" s="49">
        <v>45881</v>
      </c>
      <c r="E1662" s="10">
        <v>83</v>
      </c>
    </row>
    <row r="1663" spans="2:5">
      <c r="B1663" t="s">
        <v>16</v>
      </c>
      <c r="C1663" s="48" t="s">
        <v>17</v>
      </c>
      <c r="D1663" s="49">
        <v>45881</v>
      </c>
      <c r="E1663" s="10">
        <v>54</v>
      </c>
    </row>
    <row r="1664" spans="2:5">
      <c r="B1664" t="s">
        <v>8</v>
      </c>
      <c r="C1664" s="48" t="s">
        <v>9</v>
      </c>
      <c r="D1664" s="49">
        <v>45881</v>
      </c>
      <c r="E1664" s="10">
        <v>52</v>
      </c>
    </row>
    <row r="1665" spans="2:5">
      <c r="B1665" t="s">
        <v>12</v>
      </c>
      <c r="C1665" s="48" t="s">
        <v>13</v>
      </c>
      <c r="D1665" s="49">
        <v>45881</v>
      </c>
      <c r="E1665" s="10">
        <v>31</v>
      </c>
    </row>
    <row r="1666" spans="2:5">
      <c r="B1666" t="s">
        <v>37</v>
      </c>
      <c r="C1666" s="48" t="s">
        <v>38</v>
      </c>
      <c r="D1666" s="49">
        <v>45881</v>
      </c>
      <c r="E1666" s="10">
        <v>8</v>
      </c>
    </row>
    <row r="1667" spans="2:5">
      <c r="B1667" t="s">
        <v>20</v>
      </c>
      <c r="C1667" s="48" t="s">
        <v>21</v>
      </c>
      <c r="D1667" s="49">
        <v>45881</v>
      </c>
      <c r="E1667" s="10">
        <v>7</v>
      </c>
    </row>
    <row r="1668" spans="2:5">
      <c r="B1668" t="s">
        <v>24</v>
      </c>
      <c r="C1668" s="48" t="s">
        <v>25</v>
      </c>
      <c r="D1668" s="49">
        <v>45881</v>
      </c>
      <c r="E1668" s="10">
        <v>5</v>
      </c>
    </row>
    <row r="1669" spans="2:5">
      <c r="B1669" t="s">
        <v>4</v>
      </c>
      <c r="C1669" s="48" t="s">
        <v>5</v>
      </c>
      <c r="D1669" s="49">
        <v>45882</v>
      </c>
      <c r="E1669" s="10">
        <v>436.36</v>
      </c>
    </row>
    <row r="1670" spans="2:5">
      <c r="B1670" t="s">
        <v>31</v>
      </c>
      <c r="C1670" s="48" t="s">
        <v>32</v>
      </c>
      <c r="D1670" s="49">
        <v>45882</v>
      </c>
      <c r="E1670" s="10">
        <v>117</v>
      </c>
    </row>
    <row r="1671" spans="2:5">
      <c r="B1671" t="s">
        <v>8</v>
      </c>
      <c r="C1671" s="48" t="s">
        <v>9</v>
      </c>
      <c r="D1671" s="49">
        <v>45882</v>
      </c>
      <c r="E1671" s="10">
        <v>87</v>
      </c>
    </row>
    <row r="1672" spans="2:5">
      <c r="B1672" t="s">
        <v>12</v>
      </c>
      <c r="C1672" s="48" t="s">
        <v>13</v>
      </c>
      <c r="D1672" s="49">
        <v>45882</v>
      </c>
      <c r="E1672" s="10">
        <v>50</v>
      </c>
    </row>
    <row r="1673" spans="2:5">
      <c r="B1673" t="s">
        <v>6</v>
      </c>
      <c r="C1673" s="48" t="s">
        <v>7</v>
      </c>
      <c r="D1673" s="49">
        <v>45882</v>
      </c>
      <c r="E1673" s="10">
        <v>45</v>
      </c>
    </row>
    <row r="1674" spans="2:5">
      <c r="B1674" t="s">
        <v>16</v>
      </c>
      <c r="C1674" s="48" t="s">
        <v>17</v>
      </c>
      <c r="D1674" s="49">
        <v>45882</v>
      </c>
      <c r="E1674" s="10">
        <v>28</v>
      </c>
    </row>
    <row r="1675" spans="2:5">
      <c r="B1675" t="s">
        <v>37</v>
      </c>
      <c r="C1675" s="48" t="s">
        <v>38</v>
      </c>
      <c r="D1675" s="49">
        <v>45882</v>
      </c>
      <c r="E1675" s="10">
        <v>21</v>
      </c>
    </row>
    <row r="1676" spans="2:5">
      <c r="B1676" t="s">
        <v>10</v>
      </c>
      <c r="C1676" s="48" t="s">
        <v>11</v>
      </c>
      <c r="D1676" s="49">
        <v>45882</v>
      </c>
      <c r="E1676" s="10">
        <v>20</v>
      </c>
    </row>
    <row r="1677" spans="2:5">
      <c r="B1677" t="s">
        <v>35</v>
      </c>
      <c r="C1677" s="48" t="s">
        <v>36</v>
      </c>
      <c r="D1677" s="49">
        <v>45882</v>
      </c>
      <c r="E1677" s="10">
        <v>19</v>
      </c>
    </row>
    <row r="1678" spans="2:5">
      <c r="B1678" t="s">
        <v>24</v>
      </c>
      <c r="C1678" s="48" t="s">
        <v>25</v>
      </c>
      <c r="D1678" s="49">
        <v>45882</v>
      </c>
      <c r="E1678" s="10">
        <v>18</v>
      </c>
    </row>
    <row r="1679" spans="2:5">
      <c r="B1679" t="s">
        <v>14</v>
      </c>
      <c r="C1679" s="48" t="s">
        <v>15</v>
      </c>
      <c r="D1679" s="49">
        <v>45882</v>
      </c>
      <c r="E1679" s="10">
        <v>6</v>
      </c>
    </row>
    <row r="1680" spans="2:5">
      <c r="B1680" t="s">
        <v>20</v>
      </c>
      <c r="C1680" s="48" t="s">
        <v>21</v>
      </c>
      <c r="D1680" s="49">
        <v>45882</v>
      </c>
      <c r="E1680" s="10">
        <v>3</v>
      </c>
    </row>
    <row r="1681" spans="2:5">
      <c r="B1681" t="s">
        <v>31</v>
      </c>
      <c r="C1681" s="48" t="s">
        <v>32</v>
      </c>
      <c r="D1681" s="49">
        <v>45883</v>
      </c>
      <c r="E1681" s="10">
        <v>370.7</v>
      </c>
    </row>
    <row r="1682" spans="2:5">
      <c r="B1682" t="s">
        <v>6</v>
      </c>
      <c r="C1682" s="48" t="s">
        <v>7</v>
      </c>
      <c r="D1682" s="49">
        <v>45883</v>
      </c>
      <c r="E1682" s="10">
        <v>157</v>
      </c>
    </row>
    <row r="1683" spans="2:5">
      <c r="B1683" t="s">
        <v>4</v>
      </c>
      <c r="C1683" s="48" t="s">
        <v>5</v>
      </c>
      <c r="D1683" s="49">
        <v>45883</v>
      </c>
      <c r="E1683" s="10">
        <v>142.4</v>
      </c>
    </row>
    <row r="1684" spans="2:5">
      <c r="B1684" t="s">
        <v>8</v>
      </c>
      <c r="C1684" s="48" t="s">
        <v>9</v>
      </c>
      <c r="D1684" s="49">
        <v>45883</v>
      </c>
      <c r="E1684" s="10">
        <v>87</v>
      </c>
    </row>
    <row r="1685" spans="2:5">
      <c r="B1685" t="s">
        <v>12</v>
      </c>
      <c r="C1685" s="48" t="s">
        <v>13</v>
      </c>
      <c r="D1685" s="49">
        <v>45883</v>
      </c>
      <c r="E1685" s="10">
        <v>77</v>
      </c>
    </row>
    <row r="1686" spans="2:5">
      <c r="B1686" t="s">
        <v>10</v>
      </c>
      <c r="C1686" s="48" t="s">
        <v>11</v>
      </c>
      <c r="D1686" s="49">
        <v>45883</v>
      </c>
      <c r="E1686" s="10">
        <v>29</v>
      </c>
    </row>
    <row r="1687" spans="2:5">
      <c r="B1687" t="s">
        <v>24</v>
      </c>
      <c r="C1687" s="48" t="s">
        <v>25</v>
      </c>
      <c r="D1687" s="49">
        <v>45883</v>
      </c>
      <c r="E1687" s="10">
        <v>26</v>
      </c>
    </row>
    <row r="1688" spans="2:5">
      <c r="B1688" t="s">
        <v>16</v>
      </c>
      <c r="C1688" s="48" t="s">
        <v>17</v>
      </c>
      <c r="D1688" s="49">
        <v>45883</v>
      </c>
      <c r="E1688" s="10">
        <v>24</v>
      </c>
    </row>
    <row r="1689" spans="2:5">
      <c r="B1689" t="s">
        <v>37</v>
      </c>
      <c r="C1689" s="48" t="s">
        <v>38</v>
      </c>
      <c r="D1689" s="49">
        <v>45883</v>
      </c>
      <c r="E1689" s="10">
        <v>20</v>
      </c>
    </row>
    <row r="1690" spans="2:5">
      <c r="B1690" t="s">
        <v>22</v>
      </c>
      <c r="C1690" s="48" t="s">
        <v>23</v>
      </c>
      <c r="D1690" s="49">
        <v>45883</v>
      </c>
      <c r="E1690" s="10">
        <v>19</v>
      </c>
    </row>
    <row r="1691" spans="2:5">
      <c r="B1691" t="s">
        <v>35</v>
      </c>
      <c r="C1691" s="48" t="s">
        <v>36</v>
      </c>
      <c r="D1691" s="49">
        <v>45883</v>
      </c>
      <c r="E1691" s="10">
        <v>17</v>
      </c>
    </row>
    <row r="1692" spans="2:5">
      <c r="B1692" t="s">
        <v>33</v>
      </c>
      <c r="C1692" s="48" t="s">
        <v>34</v>
      </c>
      <c r="D1692" s="49">
        <v>45883</v>
      </c>
      <c r="E1692" s="10">
        <v>15</v>
      </c>
    </row>
    <row r="1693" spans="2:5">
      <c r="B1693" t="s">
        <v>18</v>
      </c>
      <c r="C1693" s="48" t="s">
        <v>19</v>
      </c>
      <c r="D1693" s="49">
        <v>45883</v>
      </c>
      <c r="E1693" s="10">
        <v>8</v>
      </c>
    </row>
    <row r="1694" spans="2:5">
      <c r="B1694" t="s">
        <v>20</v>
      </c>
      <c r="C1694" s="48" t="s">
        <v>21</v>
      </c>
      <c r="D1694" s="49">
        <v>45883</v>
      </c>
      <c r="E1694" s="10">
        <v>7</v>
      </c>
    </row>
    <row r="1695" spans="2:5">
      <c r="B1695" t="s">
        <v>14</v>
      </c>
      <c r="C1695" s="48" t="s">
        <v>15</v>
      </c>
      <c r="D1695" s="49">
        <v>45883</v>
      </c>
      <c r="E1695" s="10">
        <v>2</v>
      </c>
    </row>
    <row r="1696" spans="2:5">
      <c r="B1696" t="s">
        <v>4</v>
      </c>
      <c r="C1696" s="48" t="s">
        <v>5</v>
      </c>
      <c r="D1696" s="49">
        <v>45884</v>
      </c>
      <c r="E1696" s="10">
        <v>863.8</v>
      </c>
    </row>
    <row r="1697" spans="2:5">
      <c r="B1697" t="s">
        <v>31</v>
      </c>
      <c r="C1697" s="48" t="s">
        <v>32</v>
      </c>
      <c r="D1697" s="49">
        <v>45884</v>
      </c>
      <c r="E1697" s="10">
        <v>509</v>
      </c>
    </row>
    <row r="1698" spans="2:5">
      <c r="B1698" t="s">
        <v>8</v>
      </c>
      <c r="C1698" s="48" t="s">
        <v>9</v>
      </c>
      <c r="D1698" s="49">
        <v>45884</v>
      </c>
      <c r="E1698" s="10">
        <v>221</v>
      </c>
    </row>
    <row r="1699" spans="2:5">
      <c r="B1699" t="s">
        <v>24</v>
      </c>
      <c r="C1699" s="48" t="s">
        <v>25</v>
      </c>
      <c r="D1699" s="49">
        <v>45884</v>
      </c>
      <c r="E1699" s="10">
        <v>114</v>
      </c>
    </row>
    <row r="1700" spans="2:5">
      <c r="B1700" t="s">
        <v>12</v>
      </c>
      <c r="C1700" s="48" t="s">
        <v>13</v>
      </c>
      <c r="D1700" s="49">
        <v>45884</v>
      </c>
      <c r="E1700" s="10">
        <v>75</v>
      </c>
    </row>
    <row r="1701" spans="2:5">
      <c r="B1701" t="s">
        <v>33</v>
      </c>
      <c r="C1701" s="48" t="s">
        <v>34</v>
      </c>
      <c r="D1701" s="49">
        <v>45884</v>
      </c>
      <c r="E1701" s="10">
        <v>60</v>
      </c>
    </row>
    <row r="1702" spans="2:5">
      <c r="B1702" t="s">
        <v>6</v>
      </c>
      <c r="C1702" s="48" t="s">
        <v>7</v>
      </c>
      <c r="D1702" s="49">
        <v>45884</v>
      </c>
      <c r="E1702" s="10">
        <v>59</v>
      </c>
    </row>
    <row r="1703" spans="2:5">
      <c r="B1703" t="s">
        <v>10</v>
      </c>
      <c r="C1703" s="48" t="s">
        <v>11</v>
      </c>
      <c r="D1703" s="49">
        <v>45884</v>
      </c>
      <c r="E1703" s="10">
        <v>55</v>
      </c>
    </row>
    <row r="1704" spans="2:5">
      <c r="B1704" t="s">
        <v>16</v>
      </c>
      <c r="C1704" s="48" t="s">
        <v>17</v>
      </c>
      <c r="D1704" s="49">
        <v>45884</v>
      </c>
      <c r="E1704" s="10">
        <v>49</v>
      </c>
    </row>
    <row r="1705" spans="2:5">
      <c r="B1705" t="s">
        <v>35</v>
      </c>
      <c r="C1705" s="48" t="s">
        <v>36</v>
      </c>
      <c r="D1705" s="49">
        <v>45884</v>
      </c>
      <c r="E1705" s="10">
        <v>30</v>
      </c>
    </row>
    <row r="1706" spans="2:5">
      <c r="B1706" t="s">
        <v>22</v>
      </c>
      <c r="C1706" s="48" t="s">
        <v>23</v>
      </c>
      <c r="D1706" s="49">
        <v>45884</v>
      </c>
      <c r="E1706" s="10">
        <v>18</v>
      </c>
    </row>
    <row r="1707" spans="2:5">
      <c r="B1707" t="s">
        <v>37</v>
      </c>
      <c r="C1707" s="48" t="s">
        <v>38</v>
      </c>
      <c r="D1707" s="49">
        <v>45884</v>
      </c>
      <c r="E1707" s="10">
        <v>5</v>
      </c>
    </row>
    <row r="1708" spans="2:5">
      <c r="B1708" t="s">
        <v>18</v>
      </c>
      <c r="C1708" s="48" t="s">
        <v>19</v>
      </c>
      <c r="D1708" s="49">
        <v>45884</v>
      </c>
      <c r="E1708" s="10">
        <v>2</v>
      </c>
    </row>
    <row r="1709" spans="2:5">
      <c r="B1709" t="s">
        <v>12</v>
      </c>
      <c r="C1709" s="48" t="s">
        <v>13</v>
      </c>
      <c r="D1709" s="49">
        <v>45887</v>
      </c>
      <c r="E1709" s="10">
        <v>83</v>
      </c>
    </row>
    <row r="1710" spans="2:5">
      <c r="B1710" t="s">
        <v>6</v>
      </c>
      <c r="C1710" s="48" t="s">
        <v>7</v>
      </c>
      <c r="D1710" s="49">
        <v>45887</v>
      </c>
      <c r="E1710" s="10">
        <v>82</v>
      </c>
    </row>
    <row r="1711" spans="2:5">
      <c r="B1711" t="s">
        <v>4</v>
      </c>
      <c r="C1711" s="48" t="s">
        <v>5</v>
      </c>
      <c r="D1711" s="49">
        <v>45887</v>
      </c>
      <c r="E1711" s="10">
        <v>54</v>
      </c>
    </row>
    <row r="1712" spans="2:5">
      <c r="B1712" t="s">
        <v>8</v>
      </c>
      <c r="C1712" s="48" t="s">
        <v>9</v>
      </c>
      <c r="D1712" s="49">
        <v>45887</v>
      </c>
      <c r="E1712" s="10">
        <v>50</v>
      </c>
    </row>
    <row r="1713" spans="2:5">
      <c r="B1713" t="s">
        <v>10</v>
      </c>
      <c r="C1713" s="48" t="s">
        <v>11</v>
      </c>
      <c r="D1713" s="49">
        <v>45887</v>
      </c>
      <c r="E1713" s="10">
        <v>43</v>
      </c>
    </row>
    <row r="1714" spans="2:5">
      <c r="B1714" t="s">
        <v>24</v>
      </c>
      <c r="C1714" s="48" t="s">
        <v>25</v>
      </c>
      <c r="D1714" s="49">
        <v>45887</v>
      </c>
      <c r="E1714" s="10">
        <v>16</v>
      </c>
    </row>
    <row r="1715" spans="2:5">
      <c r="B1715" t="s">
        <v>16</v>
      </c>
      <c r="C1715" s="48" t="s">
        <v>17</v>
      </c>
      <c r="D1715" s="49">
        <v>45887</v>
      </c>
      <c r="E1715" s="10">
        <v>9</v>
      </c>
    </row>
    <row r="1716" spans="2:5">
      <c r="B1716" t="s">
        <v>37</v>
      </c>
      <c r="C1716" s="48" t="s">
        <v>38</v>
      </c>
      <c r="D1716" s="49">
        <v>45887</v>
      </c>
      <c r="E1716" s="10">
        <v>7</v>
      </c>
    </row>
    <row r="1717" spans="2:5">
      <c r="B1717" t="s">
        <v>31</v>
      </c>
      <c r="C1717" s="48" t="s">
        <v>32</v>
      </c>
      <c r="D1717" s="49">
        <v>45888</v>
      </c>
      <c r="E1717" s="10">
        <v>151.7</v>
      </c>
    </row>
    <row r="1718" spans="2:5">
      <c r="B1718" t="s">
        <v>8</v>
      </c>
      <c r="C1718" s="48" t="s">
        <v>9</v>
      </c>
      <c r="D1718" s="49">
        <v>45888</v>
      </c>
      <c r="E1718" s="10">
        <v>91</v>
      </c>
    </row>
    <row r="1719" spans="2:5">
      <c r="B1719" t="s">
        <v>12</v>
      </c>
      <c r="C1719" s="48" t="s">
        <v>13</v>
      </c>
      <c r="D1719" s="49">
        <v>45888</v>
      </c>
      <c r="E1719" s="10">
        <v>61</v>
      </c>
    </row>
    <row r="1720" spans="2:5">
      <c r="B1720" t="s">
        <v>10</v>
      </c>
      <c r="C1720" s="48" t="s">
        <v>11</v>
      </c>
      <c r="D1720" s="49">
        <v>45888</v>
      </c>
      <c r="E1720" s="10">
        <v>50</v>
      </c>
    </row>
    <row r="1721" spans="2:5">
      <c r="B1721" t="s">
        <v>16</v>
      </c>
      <c r="C1721" s="48" t="s">
        <v>17</v>
      </c>
      <c r="D1721" s="49">
        <v>45888</v>
      </c>
      <c r="E1721" s="10">
        <v>42</v>
      </c>
    </row>
    <row r="1722" spans="2:5">
      <c r="B1722" t="s">
        <v>33</v>
      </c>
      <c r="C1722" s="48" t="s">
        <v>34</v>
      </c>
      <c r="D1722" s="49">
        <v>45888</v>
      </c>
      <c r="E1722" s="10">
        <v>33</v>
      </c>
    </row>
    <row r="1723" spans="2:5">
      <c r="B1723" t="s">
        <v>24</v>
      </c>
      <c r="C1723" s="48" t="s">
        <v>25</v>
      </c>
      <c r="D1723" s="49">
        <v>45888</v>
      </c>
      <c r="E1723" s="10">
        <v>20</v>
      </c>
    </row>
    <row r="1724" spans="2:5">
      <c r="B1724" t="s">
        <v>20</v>
      </c>
      <c r="C1724" s="48" t="s">
        <v>21</v>
      </c>
      <c r="D1724" s="49">
        <v>45888</v>
      </c>
      <c r="E1724" s="10">
        <v>16</v>
      </c>
    </row>
    <row r="1725" spans="2:5">
      <c r="B1725" t="s">
        <v>37</v>
      </c>
      <c r="C1725" s="48" t="s">
        <v>38</v>
      </c>
      <c r="D1725" s="49">
        <v>45888</v>
      </c>
      <c r="E1725" s="10">
        <v>9</v>
      </c>
    </row>
    <row r="1726" spans="2:5">
      <c r="B1726" t="s">
        <v>14</v>
      </c>
      <c r="C1726" s="48" t="s">
        <v>15</v>
      </c>
      <c r="D1726" s="49">
        <v>45888</v>
      </c>
      <c r="E1726" s="10">
        <v>8</v>
      </c>
    </row>
    <row r="1727" spans="2:5">
      <c r="B1727" t="s">
        <v>6</v>
      </c>
      <c r="C1727" s="48" t="s">
        <v>7</v>
      </c>
      <c r="D1727" s="49">
        <v>45888</v>
      </c>
      <c r="E1727" s="10">
        <v>2</v>
      </c>
    </row>
    <row r="1728" spans="2:5">
      <c r="B1728" t="s">
        <v>4</v>
      </c>
      <c r="C1728" s="48" t="s">
        <v>5</v>
      </c>
      <c r="D1728" s="49">
        <v>45889</v>
      </c>
      <c r="E1728" s="10">
        <v>1299.3</v>
      </c>
    </row>
    <row r="1729" spans="2:5">
      <c r="B1729" t="s">
        <v>8</v>
      </c>
      <c r="C1729" s="48" t="s">
        <v>9</v>
      </c>
      <c r="D1729" s="49">
        <v>45889</v>
      </c>
      <c r="E1729" s="10">
        <v>227</v>
      </c>
    </row>
    <row r="1730" spans="2:5">
      <c r="B1730" t="s">
        <v>12</v>
      </c>
      <c r="C1730" s="48" t="s">
        <v>13</v>
      </c>
      <c r="D1730" s="49">
        <v>45889</v>
      </c>
      <c r="E1730" s="10">
        <v>83</v>
      </c>
    </row>
    <row r="1731" spans="2:5">
      <c r="B1731" t="s">
        <v>35</v>
      </c>
      <c r="C1731" s="48" t="s">
        <v>36</v>
      </c>
      <c r="D1731" s="49">
        <v>45889</v>
      </c>
      <c r="E1731" s="10">
        <v>60</v>
      </c>
    </row>
    <row r="1732" spans="2:5">
      <c r="B1732" t="s">
        <v>6</v>
      </c>
      <c r="C1732" s="48" t="s">
        <v>7</v>
      </c>
      <c r="D1732" s="49">
        <v>45889</v>
      </c>
      <c r="E1732" s="10">
        <v>57</v>
      </c>
    </row>
    <row r="1733" spans="2:5">
      <c r="B1733" t="s">
        <v>16</v>
      </c>
      <c r="C1733" s="48" t="s">
        <v>17</v>
      </c>
      <c r="D1733" s="49">
        <v>45889</v>
      </c>
      <c r="E1733" s="10">
        <v>51</v>
      </c>
    </row>
    <row r="1734" spans="2:5">
      <c r="B1734" t="s">
        <v>37</v>
      </c>
      <c r="C1734" s="48" t="s">
        <v>38</v>
      </c>
      <c r="D1734" s="49">
        <v>45889</v>
      </c>
      <c r="E1734" s="10">
        <v>46</v>
      </c>
    </row>
    <row r="1735" spans="2:5">
      <c r="B1735" t="s">
        <v>20</v>
      </c>
      <c r="C1735" s="48" t="s">
        <v>21</v>
      </c>
      <c r="D1735" s="49">
        <v>45889</v>
      </c>
      <c r="E1735" s="10">
        <v>26</v>
      </c>
    </row>
    <row r="1736" spans="2:5">
      <c r="B1736" t="s">
        <v>18</v>
      </c>
      <c r="C1736" s="48" t="s">
        <v>19</v>
      </c>
      <c r="D1736" s="49">
        <v>45889</v>
      </c>
      <c r="E1736" s="10">
        <v>15</v>
      </c>
    </row>
    <row r="1737" spans="2:5">
      <c r="B1737" t="s">
        <v>10</v>
      </c>
      <c r="C1737" s="48" t="s">
        <v>11</v>
      </c>
      <c r="D1737" s="49">
        <v>45889</v>
      </c>
      <c r="E1737" s="10">
        <v>14</v>
      </c>
    </row>
    <row r="1738" spans="2:5">
      <c r="B1738" t="s">
        <v>24</v>
      </c>
      <c r="C1738" s="48" t="s">
        <v>25</v>
      </c>
      <c r="D1738" s="49">
        <v>45889</v>
      </c>
      <c r="E1738" s="10">
        <v>4</v>
      </c>
    </row>
    <row r="1739" spans="2:5">
      <c r="B1739" t="s">
        <v>4</v>
      </c>
      <c r="C1739" s="48" t="s">
        <v>5</v>
      </c>
      <c r="D1739" s="49">
        <v>45890</v>
      </c>
      <c r="E1739" s="10">
        <v>400.25</v>
      </c>
    </row>
    <row r="1740" spans="2:5">
      <c r="B1740" t="s">
        <v>8</v>
      </c>
      <c r="C1740" s="48" t="s">
        <v>9</v>
      </c>
      <c r="D1740" s="49">
        <v>45890</v>
      </c>
      <c r="E1740" s="10">
        <v>135</v>
      </c>
    </row>
    <row r="1741" spans="2:5">
      <c r="B1741" t="s">
        <v>12</v>
      </c>
      <c r="C1741" s="48" t="s">
        <v>13</v>
      </c>
      <c r="D1741" s="49">
        <v>45890</v>
      </c>
      <c r="E1741" s="10">
        <v>120</v>
      </c>
    </row>
    <row r="1742" spans="2:5">
      <c r="B1742" t="s">
        <v>6</v>
      </c>
      <c r="C1742" s="48" t="s">
        <v>7</v>
      </c>
      <c r="D1742" s="49">
        <v>45890</v>
      </c>
      <c r="E1742" s="10">
        <v>53</v>
      </c>
    </row>
    <row r="1743" spans="2:5">
      <c r="B1743" t="s">
        <v>16</v>
      </c>
      <c r="C1743" s="48" t="s">
        <v>17</v>
      </c>
      <c r="D1743" s="49">
        <v>45890</v>
      </c>
      <c r="E1743" s="10">
        <v>46</v>
      </c>
    </row>
    <row r="1744" spans="2:5">
      <c r="B1744" t="s">
        <v>35</v>
      </c>
      <c r="C1744" s="48" t="s">
        <v>36</v>
      </c>
      <c r="D1744" s="49">
        <v>45890</v>
      </c>
      <c r="E1744" s="10">
        <v>20</v>
      </c>
    </row>
    <row r="1745" spans="2:5">
      <c r="B1745" t="s">
        <v>10</v>
      </c>
      <c r="C1745" s="48" t="s">
        <v>11</v>
      </c>
      <c r="D1745" s="49">
        <v>45890</v>
      </c>
      <c r="E1745" s="10">
        <v>14</v>
      </c>
    </row>
    <row r="1746" spans="2:5">
      <c r="B1746" t="s">
        <v>24</v>
      </c>
      <c r="C1746" s="48" t="s">
        <v>25</v>
      </c>
      <c r="D1746" s="49">
        <v>45890</v>
      </c>
      <c r="E1746" s="10">
        <v>3</v>
      </c>
    </row>
    <row r="1747" spans="2:5">
      <c r="B1747" t="s">
        <v>22</v>
      </c>
      <c r="C1747" s="48" t="s">
        <v>23</v>
      </c>
      <c r="D1747" s="49">
        <v>45890</v>
      </c>
      <c r="E1747" s="10">
        <v>2</v>
      </c>
    </row>
    <row r="1748" spans="2:5">
      <c r="B1748" t="s">
        <v>18</v>
      </c>
      <c r="C1748" s="48" t="s">
        <v>19</v>
      </c>
      <c r="D1748" s="49">
        <v>45890</v>
      </c>
      <c r="E1748" s="10">
        <v>1</v>
      </c>
    </row>
    <row r="1749" spans="2:5">
      <c r="B1749" t="s">
        <v>4</v>
      </c>
      <c r="C1749" s="48" t="s">
        <v>5</v>
      </c>
      <c r="D1749" s="49">
        <v>45891</v>
      </c>
      <c r="E1749" s="10">
        <v>386.9</v>
      </c>
    </row>
    <row r="1750" spans="2:5">
      <c r="B1750" t="s">
        <v>8</v>
      </c>
      <c r="C1750" s="48" t="s">
        <v>9</v>
      </c>
      <c r="D1750" s="49">
        <v>45891</v>
      </c>
      <c r="E1750" s="10">
        <v>37</v>
      </c>
    </row>
    <row r="1751" spans="2:5">
      <c r="B1751" t="s">
        <v>12</v>
      </c>
      <c r="C1751" s="48" t="s">
        <v>13</v>
      </c>
      <c r="D1751" s="49">
        <v>45891</v>
      </c>
      <c r="E1751" s="10">
        <v>33</v>
      </c>
    </row>
    <row r="1752" spans="2:5">
      <c r="B1752" t="s">
        <v>16</v>
      </c>
      <c r="C1752" s="48" t="s">
        <v>17</v>
      </c>
      <c r="D1752" s="49">
        <v>45891</v>
      </c>
      <c r="E1752" s="10">
        <v>20</v>
      </c>
    </row>
    <row r="1753" spans="2:5">
      <c r="B1753" t="s">
        <v>10</v>
      </c>
      <c r="C1753" s="48" t="s">
        <v>11</v>
      </c>
      <c r="D1753" s="49">
        <v>45891</v>
      </c>
      <c r="E1753" s="10">
        <v>16</v>
      </c>
    </row>
    <row r="1754" spans="2:5">
      <c r="B1754" t="s">
        <v>35</v>
      </c>
      <c r="C1754" s="48" t="s">
        <v>36</v>
      </c>
      <c r="D1754" s="49">
        <v>45891</v>
      </c>
      <c r="E1754" s="10">
        <v>10</v>
      </c>
    </row>
    <row r="1755" spans="2:5">
      <c r="B1755" t="s">
        <v>6</v>
      </c>
      <c r="C1755" s="48" t="s">
        <v>7</v>
      </c>
      <c r="D1755" s="49">
        <v>45891</v>
      </c>
      <c r="E1755" s="10">
        <v>7</v>
      </c>
    </row>
    <row r="1756" spans="2:5">
      <c r="B1756" t="s">
        <v>4</v>
      </c>
      <c r="C1756" s="48" t="s">
        <v>5</v>
      </c>
      <c r="D1756" s="49">
        <v>45894</v>
      </c>
      <c r="E1756" s="10">
        <v>189.25</v>
      </c>
    </row>
    <row r="1757" spans="2:5">
      <c r="B1757" t="s">
        <v>12</v>
      </c>
      <c r="C1757" s="48" t="s">
        <v>13</v>
      </c>
      <c r="D1757" s="49">
        <v>45894</v>
      </c>
      <c r="E1757" s="10">
        <v>79</v>
      </c>
    </row>
    <row r="1758" spans="2:5">
      <c r="B1758" t="s">
        <v>24</v>
      </c>
      <c r="C1758" s="48" t="s">
        <v>25</v>
      </c>
      <c r="D1758" s="49">
        <v>45894</v>
      </c>
      <c r="E1758" s="10">
        <v>55</v>
      </c>
    </row>
    <row r="1759" spans="2:5">
      <c r="B1759" t="s">
        <v>8</v>
      </c>
      <c r="C1759" s="48" t="s">
        <v>9</v>
      </c>
      <c r="D1759" s="49">
        <v>45894</v>
      </c>
      <c r="E1759" s="10">
        <v>47</v>
      </c>
    </row>
    <row r="1760" spans="2:5">
      <c r="B1760" t="s">
        <v>6</v>
      </c>
      <c r="C1760" s="48" t="s">
        <v>7</v>
      </c>
      <c r="D1760" s="49">
        <v>45894</v>
      </c>
      <c r="E1760" s="10">
        <v>27</v>
      </c>
    </row>
    <row r="1761" spans="2:5">
      <c r="B1761" t="s">
        <v>35</v>
      </c>
      <c r="C1761" s="48" t="s">
        <v>36</v>
      </c>
      <c r="D1761" s="49">
        <v>45894</v>
      </c>
      <c r="E1761" s="10">
        <v>23</v>
      </c>
    </row>
    <row r="1762" spans="2:5">
      <c r="B1762" t="s">
        <v>20</v>
      </c>
      <c r="C1762" s="48" t="s">
        <v>21</v>
      </c>
      <c r="D1762" s="49">
        <v>45894</v>
      </c>
      <c r="E1762" s="10">
        <v>22</v>
      </c>
    </row>
    <row r="1763" spans="2:5">
      <c r="B1763" t="s">
        <v>18</v>
      </c>
      <c r="C1763" s="48" t="s">
        <v>19</v>
      </c>
      <c r="D1763" s="49">
        <v>45894</v>
      </c>
      <c r="E1763" s="10">
        <v>16</v>
      </c>
    </row>
    <row r="1764" spans="2:5">
      <c r="B1764" t="s">
        <v>16</v>
      </c>
      <c r="C1764" s="48" t="s">
        <v>17</v>
      </c>
      <c r="D1764" s="49">
        <v>45894</v>
      </c>
      <c r="E1764" s="10">
        <v>11</v>
      </c>
    </row>
    <row r="1765" spans="2:5">
      <c r="B1765" t="s">
        <v>10</v>
      </c>
      <c r="C1765" s="48" t="s">
        <v>11</v>
      </c>
      <c r="D1765" s="49">
        <v>45894</v>
      </c>
      <c r="E1765" s="10">
        <v>9</v>
      </c>
    </row>
    <row r="1766" spans="2:5">
      <c r="B1766" t="s">
        <v>37</v>
      </c>
      <c r="C1766" s="48" t="s">
        <v>38</v>
      </c>
      <c r="D1766" s="49">
        <v>45894</v>
      </c>
      <c r="E1766" s="10">
        <v>6</v>
      </c>
    </row>
    <row r="1767" spans="2:5">
      <c r="B1767" t="s">
        <v>4</v>
      </c>
      <c r="C1767" s="48" t="s">
        <v>5</v>
      </c>
      <c r="D1767" s="49">
        <v>45895</v>
      </c>
      <c r="E1767" s="10">
        <v>347.8</v>
      </c>
    </row>
    <row r="1768" spans="2:5">
      <c r="B1768" t="s">
        <v>31</v>
      </c>
      <c r="C1768" s="48" t="s">
        <v>32</v>
      </c>
      <c r="D1768" s="49">
        <v>45895</v>
      </c>
      <c r="E1768" s="10">
        <v>308</v>
      </c>
    </row>
    <row r="1769" spans="2:5">
      <c r="B1769" t="s">
        <v>6</v>
      </c>
      <c r="C1769" s="48" t="s">
        <v>7</v>
      </c>
      <c r="D1769" s="49">
        <v>45895</v>
      </c>
      <c r="E1769" s="10">
        <v>75</v>
      </c>
    </row>
    <row r="1770" spans="2:5">
      <c r="B1770" t="s">
        <v>8</v>
      </c>
      <c r="C1770" s="48" t="s">
        <v>9</v>
      </c>
      <c r="D1770" s="49">
        <v>45895</v>
      </c>
      <c r="E1770" s="10">
        <v>71</v>
      </c>
    </row>
    <row r="1771" spans="2:5">
      <c r="B1771" t="s">
        <v>12</v>
      </c>
      <c r="C1771" s="48" t="s">
        <v>13</v>
      </c>
      <c r="D1771" s="49">
        <v>45895</v>
      </c>
      <c r="E1771" s="10">
        <v>62</v>
      </c>
    </row>
    <row r="1772" spans="2:5">
      <c r="B1772" t="s">
        <v>10</v>
      </c>
      <c r="C1772" s="48" t="s">
        <v>11</v>
      </c>
      <c r="D1772" s="49">
        <v>45895</v>
      </c>
      <c r="E1772" s="10">
        <v>31</v>
      </c>
    </row>
    <row r="1773" spans="2:5">
      <c r="B1773" t="s">
        <v>20</v>
      </c>
      <c r="C1773" s="48" t="s">
        <v>21</v>
      </c>
      <c r="D1773" s="49">
        <v>45895</v>
      </c>
      <c r="E1773" s="10">
        <v>20</v>
      </c>
    </row>
    <row r="1774" spans="2:5">
      <c r="B1774" t="s">
        <v>35</v>
      </c>
      <c r="C1774" s="48" t="s">
        <v>36</v>
      </c>
      <c r="D1774" s="49">
        <v>45895</v>
      </c>
      <c r="E1774" s="10">
        <v>15</v>
      </c>
    </row>
    <row r="1775" spans="2:5">
      <c r="B1775" t="s">
        <v>22</v>
      </c>
      <c r="C1775" s="48" t="s">
        <v>23</v>
      </c>
      <c r="D1775" s="49">
        <v>45895</v>
      </c>
      <c r="E1775" s="10">
        <v>10</v>
      </c>
    </row>
    <row r="1776" spans="2:5">
      <c r="B1776" t="s">
        <v>14</v>
      </c>
      <c r="C1776" s="48" t="s">
        <v>15</v>
      </c>
      <c r="D1776" s="49">
        <v>45895</v>
      </c>
      <c r="E1776" s="10">
        <v>1</v>
      </c>
    </row>
    <row r="1777" spans="2:5">
      <c r="B1777" t="s">
        <v>24</v>
      </c>
      <c r="C1777" s="48" t="s">
        <v>25</v>
      </c>
      <c r="D1777" s="49">
        <v>45895</v>
      </c>
      <c r="E1777" s="10">
        <v>1</v>
      </c>
    </row>
    <row r="1778" spans="2:5">
      <c r="B1778" t="s">
        <v>37</v>
      </c>
      <c r="C1778" s="48" t="s">
        <v>38</v>
      </c>
      <c r="D1778" s="49">
        <v>45895</v>
      </c>
      <c r="E1778" s="10">
        <v>1</v>
      </c>
    </row>
    <row r="1779" spans="2:5">
      <c r="B1779" t="s">
        <v>4</v>
      </c>
      <c r="C1779" s="48" t="s">
        <v>5</v>
      </c>
      <c r="D1779" s="49">
        <v>45896</v>
      </c>
      <c r="E1779" s="10">
        <v>1590.4</v>
      </c>
    </row>
    <row r="1780" spans="2:5">
      <c r="B1780" t="s">
        <v>35</v>
      </c>
      <c r="C1780" s="48" t="s">
        <v>36</v>
      </c>
      <c r="D1780" s="49">
        <v>45896</v>
      </c>
      <c r="E1780" s="10">
        <v>163</v>
      </c>
    </row>
    <row r="1781" spans="2:5">
      <c r="B1781" t="s">
        <v>8</v>
      </c>
      <c r="C1781" s="48" t="s">
        <v>9</v>
      </c>
      <c r="D1781" s="49">
        <v>45896</v>
      </c>
      <c r="E1781" s="10">
        <v>118</v>
      </c>
    </row>
    <row r="1782" spans="2:5">
      <c r="B1782" t="s">
        <v>12</v>
      </c>
      <c r="C1782" s="48" t="s">
        <v>13</v>
      </c>
      <c r="D1782" s="49">
        <v>45896</v>
      </c>
      <c r="E1782" s="10">
        <v>74</v>
      </c>
    </row>
    <row r="1783" spans="2:5">
      <c r="B1783" t="s">
        <v>6</v>
      </c>
      <c r="C1783" s="48" t="s">
        <v>7</v>
      </c>
      <c r="D1783" s="49">
        <v>45896</v>
      </c>
      <c r="E1783" s="10">
        <v>67</v>
      </c>
    </row>
    <row r="1784" spans="2:5">
      <c r="B1784" t="s">
        <v>10</v>
      </c>
      <c r="C1784" s="48" t="s">
        <v>11</v>
      </c>
      <c r="D1784" s="49">
        <v>45896</v>
      </c>
      <c r="E1784" s="10">
        <v>66</v>
      </c>
    </row>
    <row r="1785" spans="2:5">
      <c r="B1785" t="s">
        <v>24</v>
      </c>
      <c r="C1785" s="48" t="s">
        <v>25</v>
      </c>
      <c r="D1785" s="49">
        <v>45896</v>
      </c>
      <c r="E1785" s="10">
        <v>38</v>
      </c>
    </row>
    <row r="1786" spans="2:5">
      <c r="B1786" t="s">
        <v>37</v>
      </c>
      <c r="C1786" s="48" t="s">
        <v>38</v>
      </c>
      <c r="D1786" s="49">
        <v>45896</v>
      </c>
      <c r="E1786" s="10">
        <v>36</v>
      </c>
    </row>
    <row r="1787" spans="2:5">
      <c r="B1787" t="s">
        <v>40</v>
      </c>
      <c r="C1787" s="48" t="s">
        <v>41</v>
      </c>
      <c r="D1787" s="49">
        <v>45896</v>
      </c>
      <c r="E1787" s="10">
        <v>28</v>
      </c>
    </row>
    <row r="1788" spans="2:5">
      <c r="B1788" t="s">
        <v>16</v>
      </c>
      <c r="C1788" s="48" t="s">
        <v>17</v>
      </c>
      <c r="D1788" s="49">
        <v>45896</v>
      </c>
      <c r="E1788" s="10">
        <v>23</v>
      </c>
    </row>
    <row r="1789" spans="2:5">
      <c r="B1789" t="s">
        <v>22</v>
      </c>
      <c r="C1789" s="48" t="s">
        <v>23</v>
      </c>
      <c r="D1789" s="49">
        <v>45896</v>
      </c>
      <c r="E1789" s="10">
        <v>15</v>
      </c>
    </row>
    <row r="1790" spans="2:5">
      <c r="B1790" t="s">
        <v>20</v>
      </c>
      <c r="C1790" s="48" t="s">
        <v>21</v>
      </c>
      <c r="D1790" s="49">
        <v>45896</v>
      </c>
      <c r="E1790" s="10">
        <v>7</v>
      </c>
    </row>
    <row r="1791" spans="2:5">
      <c r="B1791" t="s">
        <v>12</v>
      </c>
      <c r="C1791" s="48" t="s">
        <v>13</v>
      </c>
      <c r="D1791" s="49">
        <v>45897</v>
      </c>
      <c r="E1791" s="10">
        <v>87</v>
      </c>
    </row>
    <row r="1792" spans="2:5">
      <c r="B1792" t="s">
        <v>8</v>
      </c>
      <c r="C1792" s="48" t="s">
        <v>9</v>
      </c>
      <c r="D1792" s="49">
        <v>45897</v>
      </c>
      <c r="E1792" s="10">
        <v>59</v>
      </c>
    </row>
    <row r="1793" spans="2:5">
      <c r="B1793" t="s">
        <v>6</v>
      </c>
      <c r="C1793" s="48" t="s">
        <v>7</v>
      </c>
      <c r="D1793" s="49">
        <v>45897</v>
      </c>
      <c r="E1793" s="10">
        <v>55</v>
      </c>
    </row>
    <row r="1794" spans="2:5">
      <c r="B1794" t="s">
        <v>10</v>
      </c>
      <c r="C1794" s="48" t="s">
        <v>11</v>
      </c>
      <c r="D1794" s="49">
        <v>45897</v>
      </c>
      <c r="E1794" s="10">
        <v>31</v>
      </c>
    </row>
    <row r="1795" spans="2:5">
      <c r="B1795" t="s">
        <v>35</v>
      </c>
      <c r="C1795" s="48" t="s">
        <v>36</v>
      </c>
      <c r="D1795" s="49">
        <v>45897</v>
      </c>
      <c r="E1795" s="10">
        <v>24</v>
      </c>
    </row>
    <row r="1796" spans="2:5">
      <c r="B1796" t="s">
        <v>14</v>
      </c>
      <c r="C1796" s="48" t="s">
        <v>15</v>
      </c>
      <c r="D1796" s="49">
        <v>45897</v>
      </c>
      <c r="E1796" s="10">
        <v>11</v>
      </c>
    </row>
    <row r="1797" spans="2:5">
      <c r="B1797" t="s">
        <v>20</v>
      </c>
      <c r="C1797" s="48" t="s">
        <v>21</v>
      </c>
      <c r="D1797" s="49">
        <v>45897</v>
      </c>
      <c r="E1797" s="10">
        <v>8</v>
      </c>
    </row>
    <row r="1798" spans="2:5">
      <c r="B1798" t="s">
        <v>18</v>
      </c>
      <c r="C1798" s="48" t="s">
        <v>19</v>
      </c>
      <c r="D1798" s="49">
        <v>45897</v>
      </c>
      <c r="E1798" s="10">
        <v>6</v>
      </c>
    </row>
    <row r="1799" spans="2:5">
      <c r="B1799" t="s">
        <v>40</v>
      </c>
      <c r="C1799" s="48" t="s">
        <v>41</v>
      </c>
      <c r="D1799" s="49">
        <v>45897</v>
      </c>
      <c r="E1799" s="10">
        <v>5</v>
      </c>
    </row>
    <row r="1800" spans="2:5">
      <c r="B1800" t="s">
        <v>33</v>
      </c>
      <c r="C1800" s="48" t="s">
        <v>34</v>
      </c>
      <c r="D1800" s="49">
        <v>45897</v>
      </c>
      <c r="E1800" s="10">
        <v>1</v>
      </c>
    </row>
    <row r="1801" spans="2:5">
      <c r="B1801" t="s">
        <v>4</v>
      </c>
      <c r="C1801" s="48" t="s">
        <v>5</v>
      </c>
      <c r="D1801" s="49">
        <v>45898</v>
      </c>
      <c r="E1801" s="10">
        <v>787.2</v>
      </c>
    </row>
    <row r="1802" spans="2:5">
      <c r="B1802" t="s">
        <v>12</v>
      </c>
      <c r="C1802" s="48" t="s">
        <v>13</v>
      </c>
      <c r="D1802" s="49">
        <v>45898</v>
      </c>
      <c r="E1802" s="10">
        <v>116</v>
      </c>
    </row>
    <row r="1803" spans="2:5">
      <c r="B1803" t="s">
        <v>31</v>
      </c>
      <c r="C1803" s="48" t="s">
        <v>32</v>
      </c>
      <c r="D1803" s="49">
        <v>45898</v>
      </c>
      <c r="E1803" s="10">
        <v>67.2</v>
      </c>
    </row>
    <row r="1804" spans="2:5">
      <c r="B1804" t="s">
        <v>24</v>
      </c>
      <c r="C1804" s="48" t="s">
        <v>25</v>
      </c>
      <c r="D1804" s="49">
        <v>45898</v>
      </c>
      <c r="E1804" s="10">
        <v>47</v>
      </c>
    </row>
    <row r="1805" spans="2:5">
      <c r="B1805" t="s">
        <v>8</v>
      </c>
      <c r="C1805" s="48" t="s">
        <v>9</v>
      </c>
      <c r="D1805" s="49">
        <v>45898</v>
      </c>
      <c r="E1805" s="10">
        <v>46</v>
      </c>
    </row>
    <row r="1806" spans="2:5">
      <c r="B1806" t="s">
        <v>16</v>
      </c>
      <c r="C1806" s="48" t="s">
        <v>17</v>
      </c>
      <c r="D1806" s="49">
        <v>45898</v>
      </c>
      <c r="E1806" s="10">
        <v>35</v>
      </c>
    </row>
    <row r="1807" spans="2:5">
      <c r="B1807" t="s">
        <v>22</v>
      </c>
      <c r="C1807" s="48" t="s">
        <v>23</v>
      </c>
      <c r="D1807" s="49">
        <v>45898</v>
      </c>
      <c r="E1807" s="10">
        <v>22</v>
      </c>
    </row>
    <row r="1808" spans="2:5">
      <c r="B1808" t="s">
        <v>37</v>
      </c>
      <c r="C1808" s="48" t="s">
        <v>38</v>
      </c>
      <c r="D1808" s="49">
        <v>45898</v>
      </c>
      <c r="E1808" s="10">
        <v>17</v>
      </c>
    </row>
    <row r="1809" spans="2:5">
      <c r="B1809" t="s">
        <v>20</v>
      </c>
      <c r="C1809" s="48" t="s">
        <v>21</v>
      </c>
      <c r="D1809" s="49">
        <v>45898</v>
      </c>
      <c r="E1809" s="10">
        <v>16</v>
      </c>
    </row>
    <row r="1810" spans="2:5">
      <c r="B1810" t="s">
        <v>6</v>
      </c>
      <c r="C1810" s="48" t="s">
        <v>7</v>
      </c>
      <c r="D1810" s="49">
        <v>45898</v>
      </c>
      <c r="E1810" s="10">
        <v>14</v>
      </c>
    </row>
    <row r="1811" spans="2:5">
      <c r="B1811" t="s">
        <v>35</v>
      </c>
      <c r="C1811" s="48" t="s">
        <v>36</v>
      </c>
      <c r="D1811" s="49">
        <v>45898</v>
      </c>
      <c r="E1811" s="10">
        <v>13</v>
      </c>
    </row>
    <row r="1812" spans="2:5">
      <c r="B1812" t="s">
        <v>33</v>
      </c>
      <c r="C1812" s="48" t="s">
        <v>34</v>
      </c>
      <c r="D1812" s="49">
        <v>45898</v>
      </c>
      <c r="E1812" s="10">
        <v>6</v>
      </c>
    </row>
    <row r="1813" spans="2:5">
      <c r="B1813" t="s">
        <v>18</v>
      </c>
      <c r="C1813" s="48" t="s">
        <v>19</v>
      </c>
      <c r="D1813" s="49">
        <v>45898</v>
      </c>
      <c r="E1813" s="10">
        <v>3</v>
      </c>
    </row>
    <row r="1814" spans="2:5">
      <c r="B1814" t="s">
        <v>14</v>
      </c>
      <c r="C1814" s="48" t="s">
        <v>15</v>
      </c>
      <c r="D1814" s="49">
        <v>45898</v>
      </c>
      <c r="E1814" s="10">
        <v>2</v>
      </c>
    </row>
    <row r="1815" spans="2:5">
      <c r="B1815" t="s">
        <v>6</v>
      </c>
      <c r="C1815" s="48" t="s">
        <v>7</v>
      </c>
      <c r="D1815" s="49">
        <v>45901</v>
      </c>
      <c r="E1815" s="10">
        <v>111</v>
      </c>
    </row>
    <row r="1816" spans="2:5">
      <c r="B1816" t="s">
        <v>4</v>
      </c>
      <c r="C1816" s="48" t="s">
        <v>5</v>
      </c>
      <c r="D1816" s="49">
        <v>45901</v>
      </c>
      <c r="E1816" s="10">
        <v>104.5</v>
      </c>
    </row>
    <row r="1817" spans="2:5">
      <c r="B1817" t="s">
        <v>12</v>
      </c>
      <c r="C1817" s="48" t="s">
        <v>13</v>
      </c>
      <c r="D1817" s="49">
        <v>45901</v>
      </c>
      <c r="E1817" s="10">
        <v>70</v>
      </c>
    </row>
    <row r="1818" spans="2:5">
      <c r="B1818" t="s">
        <v>8</v>
      </c>
      <c r="C1818" s="48" t="s">
        <v>9</v>
      </c>
      <c r="D1818" s="49">
        <v>45901</v>
      </c>
      <c r="E1818" s="10">
        <v>66</v>
      </c>
    </row>
    <row r="1819" spans="2:5">
      <c r="B1819" t="s">
        <v>14</v>
      </c>
      <c r="C1819" s="48" t="s">
        <v>15</v>
      </c>
      <c r="D1819" s="49">
        <v>45901</v>
      </c>
      <c r="E1819" s="10">
        <v>27</v>
      </c>
    </row>
    <row r="1820" spans="2:5">
      <c r="B1820" t="s">
        <v>35</v>
      </c>
      <c r="C1820" s="48" t="s">
        <v>36</v>
      </c>
      <c r="D1820" s="49">
        <v>45901</v>
      </c>
      <c r="E1820" s="10">
        <v>25</v>
      </c>
    </row>
    <row r="1821" spans="2:5">
      <c r="B1821" t="s">
        <v>10</v>
      </c>
      <c r="C1821" s="48" t="s">
        <v>11</v>
      </c>
      <c r="D1821" s="49">
        <v>45901</v>
      </c>
      <c r="E1821" s="10">
        <v>21</v>
      </c>
    </row>
    <row r="1822" spans="2:5">
      <c r="B1822" t="s">
        <v>24</v>
      </c>
      <c r="C1822" s="48" t="s">
        <v>25</v>
      </c>
      <c r="D1822" s="49">
        <v>45901</v>
      </c>
      <c r="E1822" s="10">
        <v>8</v>
      </c>
    </row>
    <row r="1823" spans="2:5">
      <c r="B1823" t="s">
        <v>16</v>
      </c>
      <c r="C1823" s="48" t="s">
        <v>17</v>
      </c>
      <c r="D1823" s="49">
        <v>45901</v>
      </c>
      <c r="E1823" s="10">
        <v>5</v>
      </c>
    </row>
    <row r="1824" spans="2:5">
      <c r="B1824" t="s">
        <v>20</v>
      </c>
      <c r="C1824" s="48" t="s">
        <v>21</v>
      </c>
      <c r="D1824" s="49">
        <v>45901</v>
      </c>
      <c r="E1824" s="10">
        <v>4</v>
      </c>
    </row>
    <row r="1825" spans="2:5">
      <c r="B1825" t="s">
        <v>18</v>
      </c>
      <c r="C1825" s="48" t="s">
        <v>19</v>
      </c>
      <c r="D1825" s="49">
        <v>45901</v>
      </c>
      <c r="E1825" s="10">
        <v>2</v>
      </c>
    </row>
    <row r="1826" spans="2:5">
      <c r="B1826" t="s">
        <v>4</v>
      </c>
      <c r="C1826" s="48" t="s">
        <v>5</v>
      </c>
      <c r="D1826" s="49">
        <v>45902</v>
      </c>
      <c r="E1826" s="10">
        <v>113.25</v>
      </c>
    </row>
    <row r="1827" spans="2:5">
      <c r="B1827" t="s">
        <v>16</v>
      </c>
      <c r="C1827" s="48" t="s">
        <v>17</v>
      </c>
      <c r="D1827" s="49">
        <v>45902</v>
      </c>
      <c r="E1827" s="10">
        <v>98</v>
      </c>
    </row>
    <row r="1828" spans="2:5">
      <c r="B1828" t="s">
        <v>8</v>
      </c>
      <c r="C1828" s="48" t="s">
        <v>9</v>
      </c>
      <c r="D1828" s="49">
        <v>45902</v>
      </c>
      <c r="E1828" s="10">
        <v>67</v>
      </c>
    </row>
    <row r="1829" spans="2:5">
      <c r="B1829" t="s">
        <v>24</v>
      </c>
      <c r="C1829" s="48" t="s">
        <v>25</v>
      </c>
      <c r="D1829" s="49">
        <v>45902</v>
      </c>
      <c r="E1829" s="10">
        <v>47</v>
      </c>
    </row>
    <row r="1830" spans="2:5">
      <c r="B1830" t="s">
        <v>12</v>
      </c>
      <c r="C1830" s="48" t="s">
        <v>13</v>
      </c>
      <c r="D1830" s="49">
        <v>45902</v>
      </c>
      <c r="E1830" s="10">
        <v>46</v>
      </c>
    </row>
    <row r="1831" spans="2:5">
      <c r="B1831" t="s">
        <v>33</v>
      </c>
      <c r="C1831" s="48" t="s">
        <v>34</v>
      </c>
      <c r="D1831" s="49">
        <v>45902</v>
      </c>
      <c r="E1831" s="10">
        <v>42</v>
      </c>
    </row>
    <row r="1832" spans="2:5">
      <c r="B1832" t="s">
        <v>6</v>
      </c>
      <c r="C1832" s="48" t="s">
        <v>7</v>
      </c>
      <c r="D1832" s="49">
        <v>45902</v>
      </c>
      <c r="E1832" s="10">
        <v>33</v>
      </c>
    </row>
    <row r="1833" spans="2:5">
      <c r="B1833" t="s">
        <v>35</v>
      </c>
      <c r="C1833" s="48" t="s">
        <v>36</v>
      </c>
      <c r="D1833" s="49">
        <v>45902</v>
      </c>
      <c r="E1833" s="10">
        <v>32</v>
      </c>
    </row>
    <row r="1834" spans="2:5">
      <c r="B1834" t="s">
        <v>18</v>
      </c>
      <c r="C1834" s="48" t="s">
        <v>19</v>
      </c>
      <c r="D1834" s="49">
        <v>45902</v>
      </c>
      <c r="E1834" s="10">
        <v>30</v>
      </c>
    </row>
    <row r="1835" spans="2:5">
      <c r="B1835" t="s">
        <v>37</v>
      </c>
      <c r="C1835" s="48" t="s">
        <v>38</v>
      </c>
      <c r="D1835" s="49">
        <v>45902</v>
      </c>
      <c r="E1835" s="10">
        <v>8</v>
      </c>
    </row>
    <row r="1836" spans="2:5">
      <c r="B1836" t="s">
        <v>22</v>
      </c>
      <c r="C1836" s="48" t="s">
        <v>23</v>
      </c>
      <c r="D1836" s="49">
        <v>45902</v>
      </c>
      <c r="E1836" s="10">
        <v>7</v>
      </c>
    </row>
    <row r="1837" spans="2:5">
      <c r="B1837" t="s">
        <v>10</v>
      </c>
      <c r="C1837" s="48" t="s">
        <v>11</v>
      </c>
      <c r="D1837" s="49">
        <v>45902</v>
      </c>
      <c r="E1837" s="10">
        <v>6</v>
      </c>
    </row>
    <row r="1838" spans="2:5">
      <c r="B1838" t="s">
        <v>14</v>
      </c>
      <c r="C1838" s="48" t="s">
        <v>15</v>
      </c>
      <c r="D1838" s="49">
        <v>45902</v>
      </c>
      <c r="E1838" s="10">
        <v>5</v>
      </c>
    </row>
    <row r="1839" spans="2:5">
      <c r="B1839" t="s">
        <v>8</v>
      </c>
      <c r="C1839" s="48" t="s">
        <v>9</v>
      </c>
      <c r="D1839" s="49">
        <v>45903</v>
      </c>
      <c r="E1839" s="10">
        <v>160</v>
      </c>
    </row>
    <row r="1840" spans="2:5">
      <c r="B1840" t="s">
        <v>12</v>
      </c>
      <c r="C1840" s="48" t="s">
        <v>13</v>
      </c>
      <c r="D1840" s="49">
        <v>45903</v>
      </c>
      <c r="E1840" s="10">
        <v>95</v>
      </c>
    </row>
    <row r="1841" spans="2:5">
      <c r="B1841" t="s">
        <v>6</v>
      </c>
      <c r="C1841" s="48" t="s">
        <v>7</v>
      </c>
      <c r="D1841" s="49">
        <v>45903</v>
      </c>
      <c r="E1841" s="10">
        <v>73</v>
      </c>
    </row>
    <row r="1842" spans="2:5">
      <c r="B1842" t="s">
        <v>4</v>
      </c>
      <c r="C1842" s="48" t="s">
        <v>5</v>
      </c>
      <c r="D1842" s="49">
        <v>45903</v>
      </c>
      <c r="E1842" s="10">
        <v>49.5</v>
      </c>
    </row>
    <row r="1843" spans="2:5">
      <c r="B1843" t="s">
        <v>16</v>
      </c>
      <c r="C1843" s="48" t="s">
        <v>17</v>
      </c>
      <c r="D1843" s="49">
        <v>45903</v>
      </c>
      <c r="E1843" s="10">
        <v>49</v>
      </c>
    </row>
    <row r="1844" spans="2:5">
      <c r="B1844" t="s">
        <v>14</v>
      </c>
      <c r="C1844" s="48" t="s">
        <v>15</v>
      </c>
      <c r="D1844" s="49">
        <v>45903</v>
      </c>
      <c r="E1844" s="10">
        <v>20</v>
      </c>
    </row>
    <row r="1845" spans="2:5">
      <c r="B1845" t="s">
        <v>35</v>
      </c>
      <c r="C1845" s="48" t="s">
        <v>36</v>
      </c>
      <c r="D1845" s="49">
        <v>45903</v>
      </c>
      <c r="E1845" s="10">
        <v>14</v>
      </c>
    </row>
    <row r="1846" spans="2:5">
      <c r="B1846" t="s">
        <v>24</v>
      </c>
      <c r="C1846" s="48" t="s">
        <v>25</v>
      </c>
      <c r="D1846" s="49">
        <v>45903</v>
      </c>
      <c r="E1846" s="10">
        <v>10</v>
      </c>
    </row>
    <row r="1847" spans="2:5">
      <c r="B1847" t="s">
        <v>10</v>
      </c>
      <c r="C1847" s="48" t="s">
        <v>11</v>
      </c>
      <c r="D1847" s="49">
        <v>45903</v>
      </c>
      <c r="E1847" s="10">
        <v>8</v>
      </c>
    </row>
    <row r="1848" spans="2:5">
      <c r="B1848" t="s">
        <v>37</v>
      </c>
      <c r="C1848" s="48" t="s">
        <v>38</v>
      </c>
      <c r="D1848" s="49">
        <v>45903</v>
      </c>
      <c r="E1848" s="10">
        <v>8</v>
      </c>
    </row>
    <row r="1849" spans="2:5">
      <c r="B1849" t="s">
        <v>20</v>
      </c>
      <c r="C1849" s="48" t="s">
        <v>21</v>
      </c>
      <c r="D1849" s="49">
        <v>45903</v>
      </c>
      <c r="E1849" s="10">
        <v>5</v>
      </c>
    </row>
    <row r="1850" spans="2:5">
      <c r="B1850" t="s">
        <v>18</v>
      </c>
      <c r="C1850" s="48" t="s">
        <v>19</v>
      </c>
      <c r="D1850" s="49">
        <v>45903</v>
      </c>
      <c r="E1850" s="10">
        <v>5</v>
      </c>
    </row>
    <row r="1851" spans="2:5">
      <c r="B1851" t="s">
        <v>33</v>
      </c>
      <c r="C1851" s="48" t="s">
        <v>34</v>
      </c>
      <c r="D1851" s="49">
        <v>45903</v>
      </c>
      <c r="E1851" s="10">
        <v>2</v>
      </c>
    </row>
    <row r="1852" spans="2:5">
      <c r="B1852" t="s">
        <v>4</v>
      </c>
      <c r="C1852" s="48" t="s">
        <v>5</v>
      </c>
      <c r="D1852" s="49">
        <v>45904</v>
      </c>
      <c r="E1852" s="10">
        <v>511.87</v>
      </c>
    </row>
    <row r="1853" spans="2:5">
      <c r="B1853" t="s">
        <v>8</v>
      </c>
      <c r="C1853" s="48" t="s">
        <v>9</v>
      </c>
      <c r="D1853" s="49">
        <v>45904</v>
      </c>
      <c r="E1853" s="10">
        <v>172</v>
      </c>
    </row>
    <row r="1854" spans="2:5">
      <c r="B1854" t="s">
        <v>10</v>
      </c>
      <c r="C1854" s="48" t="s">
        <v>11</v>
      </c>
      <c r="D1854" s="49">
        <v>45904</v>
      </c>
      <c r="E1854" s="10">
        <v>48</v>
      </c>
    </row>
    <row r="1855" spans="2:5">
      <c r="B1855" t="s">
        <v>20</v>
      </c>
      <c r="C1855" s="48" t="s">
        <v>21</v>
      </c>
      <c r="D1855" s="49">
        <v>45904</v>
      </c>
      <c r="E1855" s="10">
        <v>44</v>
      </c>
    </row>
    <row r="1856" spans="2:5">
      <c r="B1856" t="s">
        <v>24</v>
      </c>
      <c r="C1856" s="48" t="s">
        <v>25</v>
      </c>
      <c r="D1856" s="49">
        <v>45904</v>
      </c>
      <c r="E1856" s="10">
        <v>40</v>
      </c>
    </row>
    <row r="1857" spans="2:5">
      <c r="B1857" t="s">
        <v>12</v>
      </c>
      <c r="C1857" s="48" t="s">
        <v>13</v>
      </c>
      <c r="D1857" s="49">
        <v>45904</v>
      </c>
      <c r="E1857" s="10">
        <v>30</v>
      </c>
    </row>
    <row r="1858" spans="2:5">
      <c r="B1858" t="s">
        <v>14</v>
      </c>
      <c r="C1858" s="48" t="s">
        <v>15</v>
      </c>
      <c r="D1858" s="49">
        <v>45904</v>
      </c>
      <c r="E1858" s="10">
        <v>24</v>
      </c>
    </row>
    <row r="1859" spans="2:5">
      <c r="B1859" t="s">
        <v>16</v>
      </c>
      <c r="C1859" s="48" t="s">
        <v>17</v>
      </c>
      <c r="D1859" s="49">
        <v>45904</v>
      </c>
      <c r="E1859" s="10">
        <v>18</v>
      </c>
    </row>
    <row r="1860" spans="2:5">
      <c r="B1860" t="s">
        <v>18</v>
      </c>
      <c r="C1860" s="48" t="s">
        <v>19</v>
      </c>
      <c r="D1860" s="49">
        <v>45904</v>
      </c>
      <c r="E1860" s="10">
        <v>12</v>
      </c>
    </row>
    <row r="1861" spans="2:5">
      <c r="B1861" t="s">
        <v>6</v>
      </c>
      <c r="C1861" s="48" t="s">
        <v>7</v>
      </c>
      <c r="D1861" s="49">
        <v>45904</v>
      </c>
      <c r="E1861" s="10">
        <v>8</v>
      </c>
    </row>
    <row r="1862" spans="2:5">
      <c r="B1862" t="s">
        <v>35</v>
      </c>
      <c r="C1862" s="48" t="s">
        <v>36</v>
      </c>
      <c r="D1862" s="49">
        <v>45904</v>
      </c>
      <c r="E1862" s="10">
        <v>4</v>
      </c>
    </row>
    <row r="1863" spans="2:5">
      <c r="B1863" t="s">
        <v>4</v>
      </c>
      <c r="C1863" s="48" t="s">
        <v>5</v>
      </c>
      <c r="D1863" s="49">
        <v>45905</v>
      </c>
      <c r="E1863" s="10">
        <v>259</v>
      </c>
    </row>
    <row r="1864" spans="2:5">
      <c r="B1864" t="s">
        <v>12</v>
      </c>
      <c r="C1864" s="48" t="s">
        <v>13</v>
      </c>
      <c r="D1864" s="49">
        <v>45905</v>
      </c>
      <c r="E1864" s="10">
        <v>115</v>
      </c>
    </row>
    <row r="1865" spans="2:5">
      <c r="B1865" t="s">
        <v>8</v>
      </c>
      <c r="C1865" s="48" t="s">
        <v>9</v>
      </c>
      <c r="D1865" s="49">
        <v>45905</v>
      </c>
      <c r="E1865" s="10">
        <v>98</v>
      </c>
    </row>
    <row r="1866" spans="2:5">
      <c r="B1866" t="s">
        <v>24</v>
      </c>
      <c r="C1866" s="48" t="s">
        <v>25</v>
      </c>
      <c r="D1866" s="49">
        <v>45905</v>
      </c>
      <c r="E1866" s="10">
        <v>52</v>
      </c>
    </row>
    <row r="1867" spans="2:5">
      <c r="B1867" t="s">
        <v>6</v>
      </c>
      <c r="C1867" s="48" t="s">
        <v>7</v>
      </c>
      <c r="D1867" s="49">
        <v>45905</v>
      </c>
      <c r="E1867" s="10">
        <v>40</v>
      </c>
    </row>
    <row r="1868" spans="2:5">
      <c r="B1868" t="s">
        <v>22</v>
      </c>
      <c r="C1868" s="48" t="s">
        <v>23</v>
      </c>
      <c r="D1868" s="49">
        <v>45905</v>
      </c>
      <c r="E1868" s="10">
        <v>26</v>
      </c>
    </row>
    <row r="1869" spans="2:5">
      <c r="B1869" t="s">
        <v>16</v>
      </c>
      <c r="C1869" s="48" t="s">
        <v>17</v>
      </c>
      <c r="D1869" s="49">
        <v>45905</v>
      </c>
      <c r="E1869" s="10">
        <v>21</v>
      </c>
    </row>
    <row r="1870" spans="2:5">
      <c r="B1870" t="s">
        <v>35</v>
      </c>
      <c r="C1870" s="48" t="s">
        <v>36</v>
      </c>
      <c r="D1870" s="49">
        <v>45905</v>
      </c>
      <c r="E1870" s="10">
        <v>15</v>
      </c>
    </row>
    <row r="1871" spans="2:5">
      <c r="B1871" t="s">
        <v>14</v>
      </c>
      <c r="C1871" s="48" t="s">
        <v>15</v>
      </c>
      <c r="D1871" s="49">
        <v>45905</v>
      </c>
      <c r="E1871" s="10">
        <v>12</v>
      </c>
    </row>
    <row r="1872" spans="2:5">
      <c r="B1872" t="s">
        <v>10</v>
      </c>
      <c r="C1872" s="48" t="s">
        <v>11</v>
      </c>
      <c r="D1872" s="49">
        <v>45905</v>
      </c>
      <c r="E1872" s="10">
        <v>4</v>
      </c>
    </row>
    <row r="1873" spans="2:5">
      <c r="B1873" t="s">
        <v>18</v>
      </c>
      <c r="C1873" s="48" t="s">
        <v>19</v>
      </c>
      <c r="D1873" s="49">
        <v>45905</v>
      </c>
      <c r="E1873" s="10">
        <v>3</v>
      </c>
    </row>
    <row r="1874" spans="2:5">
      <c r="B1874" t="s">
        <v>37</v>
      </c>
      <c r="C1874" s="48" t="s">
        <v>38</v>
      </c>
      <c r="D1874" s="49">
        <v>45905</v>
      </c>
      <c r="E1874" s="10">
        <v>2</v>
      </c>
    </row>
    <row r="1875" spans="2:5">
      <c r="B1875" t="s">
        <v>4</v>
      </c>
      <c r="C1875" s="48" t="s">
        <v>5</v>
      </c>
      <c r="D1875" s="49">
        <v>45908</v>
      </c>
      <c r="E1875" s="10">
        <v>319.6</v>
      </c>
    </row>
    <row r="1876" spans="2:5">
      <c r="B1876" t="s">
        <v>16</v>
      </c>
      <c r="C1876" s="48" t="s">
        <v>17</v>
      </c>
      <c r="D1876" s="49">
        <v>45908</v>
      </c>
      <c r="E1876" s="10">
        <v>108</v>
      </c>
    </row>
    <row r="1877" spans="2:5">
      <c r="B1877" t="s">
        <v>6</v>
      </c>
      <c r="C1877" s="48" t="s">
        <v>7</v>
      </c>
      <c r="D1877" s="49">
        <v>45908</v>
      </c>
      <c r="E1877" s="10">
        <v>102</v>
      </c>
    </row>
    <row r="1878" spans="2:5">
      <c r="B1878" t="s">
        <v>8</v>
      </c>
      <c r="C1878" s="48" t="s">
        <v>9</v>
      </c>
      <c r="D1878" s="49">
        <v>45908</v>
      </c>
      <c r="E1878" s="10">
        <v>72</v>
      </c>
    </row>
    <row r="1879" spans="2:5">
      <c r="B1879" t="s">
        <v>12</v>
      </c>
      <c r="C1879" s="48" t="s">
        <v>13</v>
      </c>
      <c r="D1879" s="49">
        <v>45908</v>
      </c>
      <c r="E1879" s="10">
        <v>41</v>
      </c>
    </row>
    <row r="1880" spans="2:5">
      <c r="B1880" t="s">
        <v>10</v>
      </c>
      <c r="C1880" s="48" t="s">
        <v>11</v>
      </c>
      <c r="D1880" s="49">
        <v>45908</v>
      </c>
      <c r="E1880" s="10">
        <v>26</v>
      </c>
    </row>
    <row r="1881" spans="2:5">
      <c r="B1881" t="s">
        <v>35</v>
      </c>
      <c r="C1881" s="48" t="s">
        <v>36</v>
      </c>
      <c r="D1881" s="49">
        <v>45908</v>
      </c>
      <c r="E1881" s="10">
        <v>17</v>
      </c>
    </row>
    <row r="1882" spans="2:5">
      <c r="B1882" t="s">
        <v>24</v>
      </c>
      <c r="C1882" s="48" t="s">
        <v>25</v>
      </c>
      <c r="D1882" s="49">
        <v>45908</v>
      </c>
      <c r="E1882" s="10">
        <v>6</v>
      </c>
    </row>
    <row r="1883" spans="2:5">
      <c r="B1883" t="s">
        <v>18</v>
      </c>
      <c r="C1883" s="48" t="s">
        <v>19</v>
      </c>
      <c r="D1883" s="49">
        <v>45908</v>
      </c>
      <c r="E1883" s="10">
        <v>6</v>
      </c>
    </row>
    <row r="1884" spans="2:5">
      <c r="B1884" t="s">
        <v>14</v>
      </c>
      <c r="C1884" s="48" t="s">
        <v>15</v>
      </c>
      <c r="D1884" s="49">
        <v>45908</v>
      </c>
      <c r="E1884" s="10">
        <v>5</v>
      </c>
    </row>
    <row r="1885" spans="2:5">
      <c r="B1885" t="s">
        <v>20</v>
      </c>
      <c r="C1885" s="48" t="s">
        <v>21</v>
      </c>
      <c r="D1885" s="49">
        <v>45908</v>
      </c>
      <c r="E1885" s="10">
        <v>3</v>
      </c>
    </row>
    <row r="1886" spans="2:5">
      <c r="B1886" t="s">
        <v>12</v>
      </c>
      <c r="C1886" s="48" t="s">
        <v>13</v>
      </c>
      <c r="D1886" s="49">
        <v>45909</v>
      </c>
      <c r="E1886" s="10">
        <v>81</v>
      </c>
    </row>
    <row r="1887" spans="2:5">
      <c r="B1887" t="s">
        <v>10</v>
      </c>
      <c r="C1887" s="48" t="s">
        <v>11</v>
      </c>
      <c r="D1887" s="49">
        <v>45909</v>
      </c>
      <c r="E1887" s="10">
        <v>68</v>
      </c>
    </row>
    <row r="1888" spans="2:5">
      <c r="B1888" t="s">
        <v>8</v>
      </c>
      <c r="C1888" s="48" t="s">
        <v>9</v>
      </c>
      <c r="D1888" s="49">
        <v>45909</v>
      </c>
      <c r="E1888" s="10">
        <v>64</v>
      </c>
    </row>
    <row r="1889" spans="2:5">
      <c r="B1889" t="s">
        <v>37</v>
      </c>
      <c r="C1889" s="48" t="s">
        <v>38</v>
      </c>
      <c r="D1889" s="49">
        <v>45909</v>
      </c>
      <c r="E1889" s="10">
        <v>62</v>
      </c>
    </row>
    <row r="1890" spans="2:5">
      <c r="B1890" t="s">
        <v>24</v>
      </c>
      <c r="C1890" s="48" t="s">
        <v>25</v>
      </c>
      <c r="D1890" s="49">
        <v>45909</v>
      </c>
      <c r="E1890" s="10">
        <v>39</v>
      </c>
    </row>
    <row r="1891" spans="2:5">
      <c r="B1891" t="s">
        <v>16</v>
      </c>
      <c r="C1891" s="48" t="s">
        <v>17</v>
      </c>
      <c r="D1891" s="49">
        <v>45909</v>
      </c>
      <c r="E1891" s="10">
        <v>33</v>
      </c>
    </row>
    <row r="1892" spans="2:5">
      <c r="B1892" t="s">
        <v>6</v>
      </c>
      <c r="C1892" s="48" t="s">
        <v>7</v>
      </c>
      <c r="D1892" s="49">
        <v>45909</v>
      </c>
      <c r="E1892" s="10">
        <v>23</v>
      </c>
    </row>
    <row r="1893" spans="2:5">
      <c r="B1893" t="s">
        <v>22</v>
      </c>
      <c r="C1893" s="48" t="s">
        <v>23</v>
      </c>
      <c r="D1893" s="49">
        <v>45909</v>
      </c>
      <c r="E1893" s="10">
        <v>23</v>
      </c>
    </row>
    <row r="1894" spans="2:5">
      <c r="B1894" t="s">
        <v>14</v>
      </c>
      <c r="C1894" s="48" t="s">
        <v>15</v>
      </c>
      <c r="D1894" s="49">
        <v>45909</v>
      </c>
      <c r="E1894" s="10">
        <v>17</v>
      </c>
    </row>
    <row r="1895" spans="2:5">
      <c r="B1895" t="s">
        <v>20</v>
      </c>
      <c r="C1895" s="48" t="s">
        <v>21</v>
      </c>
      <c r="D1895" s="49">
        <v>45909</v>
      </c>
      <c r="E1895" s="10">
        <v>15</v>
      </c>
    </row>
    <row r="1896" spans="2:5">
      <c r="B1896" t="s">
        <v>18</v>
      </c>
      <c r="C1896" s="48" t="s">
        <v>19</v>
      </c>
      <c r="D1896" s="49">
        <v>45909</v>
      </c>
      <c r="E1896" s="10">
        <v>15</v>
      </c>
    </row>
    <row r="1897" spans="2:5">
      <c r="B1897" t="s">
        <v>35</v>
      </c>
      <c r="C1897" s="48" t="s">
        <v>36</v>
      </c>
      <c r="D1897" s="49">
        <v>45909</v>
      </c>
      <c r="E1897" s="10">
        <v>10</v>
      </c>
    </row>
    <row r="1898" spans="2:5">
      <c r="B1898" t="s">
        <v>4</v>
      </c>
      <c r="C1898" s="48" t="s">
        <v>5</v>
      </c>
      <c r="D1898" s="49">
        <v>45909</v>
      </c>
      <c r="E1898" s="10">
        <v>9</v>
      </c>
    </row>
    <row r="1899" spans="2:5">
      <c r="B1899" t="s">
        <v>4</v>
      </c>
      <c r="C1899" s="48" t="s">
        <v>5</v>
      </c>
      <c r="D1899" s="49">
        <v>45910</v>
      </c>
      <c r="E1899" s="10">
        <v>475.8</v>
      </c>
    </row>
    <row r="1900" spans="2:5">
      <c r="B1900" t="s">
        <v>8</v>
      </c>
      <c r="C1900" s="48" t="s">
        <v>9</v>
      </c>
      <c r="D1900" s="49">
        <v>45910</v>
      </c>
      <c r="E1900" s="10">
        <v>249</v>
      </c>
    </row>
    <row r="1901" spans="2:5">
      <c r="B1901" t="s">
        <v>12</v>
      </c>
      <c r="C1901" s="48" t="s">
        <v>13</v>
      </c>
      <c r="D1901" s="49">
        <v>45910</v>
      </c>
      <c r="E1901" s="10">
        <v>125</v>
      </c>
    </row>
    <row r="1902" spans="2:5">
      <c r="B1902" t="s">
        <v>35</v>
      </c>
      <c r="C1902" s="48" t="s">
        <v>36</v>
      </c>
      <c r="D1902" s="49">
        <v>45910</v>
      </c>
      <c r="E1902" s="10">
        <v>92</v>
      </c>
    </row>
    <row r="1903" spans="2:5">
      <c r="B1903" t="s">
        <v>24</v>
      </c>
      <c r="C1903" s="48" t="s">
        <v>25</v>
      </c>
      <c r="D1903" s="49">
        <v>45910</v>
      </c>
      <c r="E1903" s="10">
        <v>82</v>
      </c>
    </row>
    <row r="1904" spans="2:5">
      <c r="B1904" t="s">
        <v>16</v>
      </c>
      <c r="C1904" s="48" t="s">
        <v>17</v>
      </c>
      <c r="D1904" s="49">
        <v>45910</v>
      </c>
      <c r="E1904" s="10">
        <v>75</v>
      </c>
    </row>
    <row r="1905" spans="2:5">
      <c r="B1905" t="s">
        <v>6</v>
      </c>
      <c r="C1905" s="48" t="s">
        <v>7</v>
      </c>
      <c r="D1905" s="49">
        <v>45910</v>
      </c>
      <c r="E1905" s="10">
        <v>69</v>
      </c>
    </row>
    <row r="1906" spans="2:5">
      <c r="B1906" t="s">
        <v>33</v>
      </c>
      <c r="C1906" s="48" t="s">
        <v>34</v>
      </c>
      <c r="D1906" s="49">
        <v>45910</v>
      </c>
      <c r="E1906" s="10">
        <v>45</v>
      </c>
    </row>
    <row r="1907" spans="2:5">
      <c r="B1907" t="s">
        <v>10</v>
      </c>
      <c r="C1907" s="48" t="s">
        <v>11</v>
      </c>
      <c r="D1907" s="49">
        <v>45910</v>
      </c>
      <c r="E1907" s="10">
        <v>36</v>
      </c>
    </row>
    <row r="1908" spans="2:5">
      <c r="B1908" t="s">
        <v>37</v>
      </c>
      <c r="C1908" s="48" t="s">
        <v>38</v>
      </c>
      <c r="D1908" s="49">
        <v>45910</v>
      </c>
      <c r="E1908" s="10">
        <v>21</v>
      </c>
    </row>
    <row r="1909" spans="2:5">
      <c r="B1909" t="s">
        <v>14</v>
      </c>
      <c r="C1909" s="48" t="s">
        <v>15</v>
      </c>
      <c r="D1909" s="49">
        <v>45910</v>
      </c>
      <c r="E1909" s="10">
        <v>15</v>
      </c>
    </row>
    <row r="1910" spans="2:5">
      <c r="B1910" t="s">
        <v>20</v>
      </c>
      <c r="C1910" s="48" t="s">
        <v>21</v>
      </c>
      <c r="D1910" s="49">
        <v>45910</v>
      </c>
      <c r="E1910" s="10">
        <v>8</v>
      </c>
    </row>
    <row r="1911" spans="2:5">
      <c r="B1911" t="s">
        <v>4</v>
      </c>
      <c r="C1911" s="48" t="s">
        <v>5</v>
      </c>
      <c r="D1911" s="49">
        <v>45911</v>
      </c>
      <c r="E1911" s="10">
        <v>1056.24</v>
      </c>
    </row>
    <row r="1912" spans="2:5">
      <c r="B1912" t="s">
        <v>31</v>
      </c>
      <c r="C1912" s="48" t="s">
        <v>32</v>
      </c>
      <c r="D1912" s="49">
        <v>45911</v>
      </c>
      <c r="E1912" s="10">
        <v>104</v>
      </c>
    </row>
    <row r="1913" spans="2:5">
      <c r="B1913" t="s">
        <v>22</v>
      </c>
      <c r="C1913" s="48" t="s">
        <v>23</v>
      </c>
      <c r="D1913" s="49">
        <v>45911</v>
      </c>
      <c r="E1913" s="10">
        <v>96</v>
      </c>
    </row>
    <row r="1914" spans="2:5">
      <c r="B1914" t="s">
        <v>12</v>
      </c>
      <c r="C1914" s="48" t="s">
        <v>13</v>
      </c>
      <c r="D1914" s="49">
        <v>45911</v>
      </c>
      <c r="E1914" s="10">
        <v>86</v>
      </c>
    </row>
    <row r="1915" spans="2:5">
      <c r="B1915" t="s">
        <v>24</v>
      </c>
      <c r="C1915" s="48" t="s">
        <v>25</v>
      </c>
      <c r="D1915" s="49">
        <v>45911</v>
      </c>
      <c r="E1915" s="10">
        <v>75</v>
      </c>
    </row>
    <row r="1916" spans="2:5">
      <c r="B1916" t="s">
        <v>35</v>
      </c>
      <c r="C1916" s="48" t="s">
        <v>36</v>
      </c>
      <c r="D1916" s="49">
        <v>45911</v>
      </c>
      <c r="E1916" s="10">
        <v>62</v>
      </c>
    </row>
    <row r="1917" spans="2:5">
      <c r="B1917" t="s">
        <v>20</v>
      </c>
      <c r="C1917" s="48" t="s">
        <v>21</v>
      </c>
      <c r="D1917" s="49">
        <v>45911</v>
      </c>
      <c r="E1917" s="10">
        <v>59</v>
      </c>
    </row>
    <row r="1918" spans="2:5">
      <c r="B1918" t="s">
        <v>18</v>
      </c>
      <c r="C1918" s="48" t="s">
        <v>19</v>
      </c>
      <c r="D1918" s="49">
        <v>45911</v>
      </c>
      <c r="E1918" s="10">
        <v>56</v>
      </c>
    </row>
    <row r="1919" spans="2:5">
      <c r="B1919" t="s">
        <v>6</v>
      </c>
      <c r="C1919" s="48" t="s">
        <v>7</v>
      </c>
      <c r="D1919" s="49">
        <v>45911</v>
      </c>
      <c r="E1919" s="10">
        <v>50</v>
      </c>
    </row>
    <row r="1920" spans="2:5">
      <c r="B1920" t="s">
        <v>33</v>
      </c>
      <c r="C1920" s="48" t="s">
        <v>34</v>
      </c>
      <c r="D1920" s="49">
        <v>45911</v>
      </c>
      <c r="E1920" s="10">
        <v>43</v>
      </c>
    </row>
    <row r="1921" spans="2:5">
      <c r="B1921" t="s">
        <v>10</v>
      </c>
      <c r="C1921" s="48" t="s">
        <v>11</v>
      </c>
      <c r="D1921" s="49">
        <v>45911</v>
      </c>
      <c r="E1921" s="10">
        <v>31</v>
      </c>
    </row>
    <row r="1922" spans="2:5">
      <c r="B1922" t="s">
        <v>8</v>
      </c>
      <c r="C1922" s="48" t="s">
        <v>9</v>
      </c>
      <c r="D1922" s="49">
        <v>45911</v>
      </c>
      <c r="E1922" s="10">
        <v>31</v>
      </c>
    </row>
    <row r="1923" spans="2:5">
      <c r="B1923" t="s">
        <v>37</v>
      </c>
      <c r="C1923" s="48" t="s">
        <v>38</v>
      </c>
      <c r="D1923" s="49">
        <v>45911</v>
      </c>
      <c r="E1923" s="10">
        <v>30</v>
      </c>
    </row>
    <row r="1924" spans="2:5">
      <c r="B1924" t="s">
        <v>40</v>
      </c>
      <c r="C1924" s="48" t="s">
        <v>41</v>
      </c>
      <c r="D1924" s="49">
        <v>45911</v>
      </c>
      <c r="E1924" s="10">
        <v>14</v>
      </c>
    </row>
    <row r="1925" spans="2:5">
      <c r="B1925" t="s">
        <v>16</v>
      </c>
      <c r="C1925" s="48" t="s">
        <v>17</v>
      </c>
      <c r="D1925" s="49">
        <v>45911</v>
      </c>
      <c r="E1925" s="10">
        <v>9</v>
      </c>
    </row>
    <row r="1926" spans="2:5">
      <c r="B1926" t="s">
        <v>14</v>
      </c>
      <c r="C1926" s="48" t="s">
        <v>15</v>
      </c>
      <c r="D1926" s="49">
        <v>45911</v>
      </c>
      <c r="E1926" s="10">
        <v>5</v>
      </c>
    </row>
    <row r="1927" spans="2:5">
      <c r="B1927" t="s">
        <v>31</v>
      </c>
      <c r="C1927" s="48" t="s">
        <v>32</v>
      </c>
      <c r="D1927" s="49">
        <v>45912</v>
      </c>
      <c r="E1927" s="10">
        <v>191.5</v>
      </c>
    </row>
    <row r="1928" spans="2:5">
      <c r="B1928" t="s">
        <v>4</v>
      </c>
      <c r="C1928" s="48" t="s">
        <v>5</v>
      </c>
      <c r="D1928" s="49">
        <v>45912</v>
      </c>
      <c r="E1928" s="10">
        <v>166.6</v>
      </c>
    </row>
    <row r="1929" spans="2:5">
      <c r="B1929" t="s">
        <v>12</v>
      </c>
      <c r="C1929" s="48" t="s">
        <v>13</v>
      </c>
      <c r="D1929" s="49">
        <v>45912</v>
      </c>
      <c r="E1929" s="10">
        <v>105</v>
      </c>
    </row>
    <row r="1930" spans="2:5">
      <c r="B1930" t="s">
        <v>8</v>
      </c>
      <c r="C1930" s="48" t="s">
        <v>9</v>
      </c>
      <c r="D1930" s="49">
        <v>45912</v>
      </c>
      <c r="E1930" s="10">
        <v>72</v>
      </c>
    </row>
    <row r="1931" spans="2:5">
      <c r="B1931" t="s">
        <v>6</v>
      </c>
      <c r="C1931" s="48" t="s">
        <v>7</v>
      </c>
      <c r="D1931" s="49">
        <v>45912</v>
      </c>
      <c r="E1931" s="10">
        <v>63</v>
      </c>
    </row>
    <row r="1932" spans="2:5">
      <c r="B1932" t="s">
        <v>24</v>
      </c>
      <c r="C1932" s="48" t="s">
        <v>25</v>
      </c>
      <c r="D1932" s="49">
        <v>45912</v>
      </c>
      <c r="E1932" s="10">
        <v>54</v>
      </c>
    </row>
    <row r="1933" spans="2:5">
      <c r="B1933" t="s">
        <v>35</v>
      </c>
      <c r="C1933" s="48" t="s">
        <v>36</v>
      </c>
      <c r="D1933" s="49">
        <v>45912</v>
      </c>
      <c r="E1933" s="10">
        <v>48</v>
      </c>
    </row>
    <row r="1934" spans="2:5">
      <c r="B1934" t="s">
        <v>16</v>
      </c>
      <c r="C1934" s="48" t="s">
        <v>17</v>
      </c>
      <c r="D1934" s="49">
        <v>45912</v>
      </c>
      <c r="E1934" s="10">
        <v>35</v>
      </c>
    </row>
    <row r="1935" spans="2:5">
      <c r="B1935" t="s">
        <v>14</v>
      </c>
      <c r="C1935" s="48" t="s">
        <v>15</v>
      </c>
      <c r="D1935" s="49">
        <v>45912</v>
      </c>
      <c r="E1935" s="10">
        <v>32</v>
      </c>
    </row>
    <row r="1936" spans="2:5">
      <c r="B1936" t="s">
        <v>20</v>
      </c>
      <c r="C1936" s="48" t="s">
        <v>21</v>
      </c>
      <c r="D1936" s="49">
        <v>45912</v>
      </c>
      <c r="E1936" s="10">
        <v>31</v>
      </c>
    </row>
    <row r="1937" spans="2:5">
      <c r="B1937" t="s">
        <v>18</v>
      </c>
      <c r="C1937" s="48" t="s">
        <v>19</v>
      </c>
      <c r="D1937" s="49">
        <v>45912</v>
      </c>
      <c r="E1937" s="10">
        <v>15</v>
      </c>
    </row>
    <row r="1938" spans="2:5">
      <c r="B1938" t="s">
        <v>4</v>
      </c>
      <c r="C1938" s="48" t="s">
        <v>5</v>
      </c>
      <c r="D1938" s="49">
        <v>45915</v>
      </c>
      <c r="E1938" s="10">
        <v>1245</v>
      </c>
    </row>
    <row r="1939" spans="2:5">
      <c r="B1939" t="s">
        <v>31</v>
      </c>
      <c r="C1939" s="48" t="s">
        <v>32</v>
      </c>
      <c r="D1939" s="49">
        <v>45915</v>
      </c>
      <c r="E1939" s="10">
        <v>257.4</v>
      </c>
    </row>
    <row r="1940" spans="2:5">
      <c r="B1940" t="s">
        <v>12</v>
      </c>
      <c r="C1940" s="48" t="s">
        <v>13</v>
      </c>
      <c r="D1940" s="49">
        <v>45915</v>
      </c>
      <c r="E1940" s="10">
        <v>249</v>
      </c>
    </row>
    <row r="1941" spans="2:5">
      <c r="B1941" t="s">
        <v>6</v>
      </c>
      <c r="C1941" s="48" t="s">
        <v>7</v>
      </c>
      <c r="D1941" s="49">
        <v>45915</v>
      </c>
      <c r="E1941" s="10">
        <v>199</v>
      </c>
    </row>
    <row r="1942" spans="2:5">
      <c r="B1942" t="s">
        <v>8</v>
      </c>
      <c r="C1942" s="48" t="s">
        <v>9</v>
      </c>
      <c r="D1942" s="49">
        <v>45915</v>
      </c>
      <c r="E1942" s="10">
        <v>188</v>
      </c>
    </row>
    <row r="1943" spans="2:5">
      <c r="B1943" t="s">
        <v>35</v>
      </c>
      <c r="C1943" s="48" t="s">
        <v>36</v>
      </c>
      <c r="D1943" s="49">
        <v>45915</v>
      </c>
      <c r="E1943" s="10">
        <v>58</v>
      </c>
    </row>
    <row r="1944" spans="2:5">
      <c r="B1944" t="s">
        <v>22</v>
      </c>
      <c r="C1944" s="48" t="s">
        <v>23</v>
      </c>
      <c r="D1944" s="49">
        <v>45915</v>
      </c>
      <c r="E1944" s="10">
        <v>41</v>
      </c>
    </row>
    <row r="1945" spans="2:5">
      <c r="B1945" t="s">
        <v>16</v>
      </c>
      <c r="C1945" s="48" t="s">
        <v>17</v>
      </c>
      <c r="D1945" s="49">
        <v>45915</v>
      </c>
      <c r="E1945" s="10">
        <v>36</v>
      </c>
    </row>
    <row r="1946" spans="2:5">
      <c r="B1946" t="s">
        <v>37</v>
      </c>
      <c r="C1946" s="48" t="s">
        <v>38</v>
      </c>
      <c r="D1946" s="49">
        <v>45915</v>
      </c>
      <c r="E1946" s="10">
        <v>34</v>
      </c>
    </row>
    <row r="1947" spans="2:5">
      <c r="B1947" t="s">
        <v>10</v>
      </c>
      <c r="C1947" s="48" t="s">
        <v>11</v>
      </c>
      <c r="D1947" s="49">
        <v>45915</v>
      </c>
      <c r="E1947" s="10">
        <v>33</v>
      </c>
    </row>
    <row r="1948" spans="2:5">
      <c r="B1948" t="s">
        <v>18</v>
      </c>
      <c r="C1948" s="48" t="s">
        <v>19</v>
      </c>
      <c r="D1948" s="49">
        <v>45915</v>
      </c>
      <c r="E1948" s="10">
        <v>14</v>
      </c>
    </row>
    <row r="1949" spans="2:5">
      <c r="B1949" t="s">
        <v>24</v>
      </c>
      <c r="C1949" s="48" t="s">
        <v>25</v>
      </c>
      <c r="D1949" s="49">
        <v>45915</v>
      </c>
      <c r="E1949" s="10">
        <v>4</v>
      </c>
    </row>
    <row r="1950" spans="2:5">
      <c r="B1950" t="s">
        <v>4</v>
      </c>
      <c r="C1950" s="48" t="s">
        <v>5</v>
      </c>
      <c r="D1950" s="49">
        <v>45916</v>
      </c>
      <c r="E1950" s="10">
        <v>482.8</v>
      </c>
    </row>
    <row r="1951" spans="2:5">
      <c r="B1951" t="s">
        <v>8</v>
      </c>
      <c r="C1951" s="48" t="s">
        <v>9</v>
      </c>
      <c r="D1951" s="49">
        <v>45916</v>
      </c>
      <c r="E1951" s="10">
        <v>135</v>
      </c>
    </row>
    <row r="1952" spans="2:5">
      <c r="B1952" t="s">
        <v>6</v>
      </c>
      <c r="C1952" s="48" t="s">
        <v>7</v>
      </c>
      <c r="D1952" s="49">
        <v>45916</v>
      </c>
      <c r="E1952" s="10">
        <v>127</v>
      </c>
    </row>
    <row r="1953" spans="2:5">
      <c r="B1953" t="s">
        <v>16</v>
      </c>
      <c r="C1953" s="48" t="s">
        <v>17</v>
      </c>
      <c r="D1953" s="49">
        <v>45916</v>
      </c>
      <c r="E1953" s="10">
        <v>75</v>
      </c>
    </row>
    <row r="1954" spans="2:5">
      <c r="B1954" t="s">
        <v>12</v>
      </c>
      <c r="C1954" s="48" t="s">
        <v>13</v>
      </c>
      <c r="D1954" s="49">
        <v>45916</v>
      </c>
      <c r="E1954" s="10">
        <v>67</v>
      </c>
    </row>
    <row r="1955" spans="2:5">
      <c r="B1955" t="s">
        <v>22</v>
      </c>
      <c r="C1955" s="48" t="s">
        <v>23</v>
      </c>
      <c r="D1955" s="49">
        <v>45916</v>
      </c>
      <c r="E1955" s="10">
        <v>29</v>
      </c>
    </row>
    <row r="1956" spans="2:5">
      <c r="B1956" t="s">
        <v>10</v>
      </c>
      <c r="C1956" s="48" t="s">
        <v>11</v>
      </c>
      <c r="D1956" s="49">
        <v>45916</v>
      </c>
      <c r="E1956" s="10">
        <v>25</v>
      </c>
    </row>
    <row r="1957" spans="2:5">
      <c r="B1957" t="s">
        <v>35</v>
      </c>
      <c r="C1957" s="48" t="s">
        <v>36</v>
      </c>
      <c r="D1957" s="49">
        <v>45916</v>
      </c>
      <c r="E1957" s="10">
        <v>21</v>
      </c>
    </row>
    <row r="1958" spans="2:5">
      <c r="B1958" t="s">
        <v>37</v>
      </c>
      <c r="C1958" s="48" t="s">
        <v>38</v>
      </c>
      <c r="D1958" s="49">
        <v>45916</v>
      </c>
      <c r="E1958" s="10">
        <v>17</v>
      </c>
    </row>
    <row r="1959" spans="2:5">
      <c r="B1959" t="s">
        <v>33</v>
      </c>
      <c r="C1959" s="48" t="s">
        <v>34</v>
      </c>
      <c r="D1959" s="49">
        <v>45916</v>
      </c>
      <c r="E1959" s="10">
        <v>8</v>
      </c>
    </row>
    <row r="1960" spans="2:5">
      <c r="B1960" t="s">
        <v>18</v>
      </c>
      <c r="C1960" s="48" t="s">
        <v>19</v>
      </c>
      <c r="D1960" s="49">
        <v>45916</v>
      </c>
      <c r="E1960" s="10">
        <v>4</v>
      </c>
    </row>
    <row r="1961" spans="2:5">
      <c r="B1961" t="s">
        <v>8</v>
      </c>
      <c r="C1961" s="48" t="s">
        <v>9</v>
      </c>
      <c r="D1961" s="49">
        <v>45917</v>
      </c>
      <c r="E1961" s="10">
        <v>96</v>
      </c>
    </row>
    <row r="1962" spans="2:5">
      <c r="B1962" t="s">
        <v>6</v>
      </c>
      <c r="C1962" s="48" t="s">
        <v>7</v>
      </c>
      <c r="D1962" s="49">
        <v>45917</v>
      </c>
      <c r="E1962" s="10">
        <v>62</v>
      </c>
    </row>
    <row r="1963" spans="2:5">
      <c r="B1963" t="s">
        <v>12</v>
      </c>
      <c r="C1963" s="48" t="s">
        <v>13</v>
      </c>
      <c r="D1963" s="49">
        <v>45917</v>
      </c>
      <c r="E1963" s="10">
        <v>53</v>
      </c>
    </row>
    <row r="1964" spans="2:5">
      <c r="B1964" t="s">
        <v>16</v>
      </c>
      <c r="C1964" s="48" t="s">
        <v>17</v>
      </c>
      <c r="D1964" s="49">
        <v>45917</v>
      </c>
      <c r="E1964" s="10">
        <v>52</v>
      </c>
    </row>
    <row r="1965" spans="2:5">
      <c r="B1965" t="s">
        <v>10</v>
      </c>
      <c r="C1965" s="48" t="s">
        <v>11</v>
      </c>
      <c r="D1965" s="49">
        <v>45917</v>
      </c>
      <c r="E1965" s="10">
        <v>23</v>
      </c>
    </row>
    <row r="1966" spans="2:5">
      <c r="B1966" t="s">
        <v>35</v>
      </c>
      <c r="C1966" s="48" t="s">
        <v>36</v>
      </c>
      <c r="D1966" s="49">
        <v>45917</v>
      </c>
      <c r="E1966" s="10">
        <v>22</v>
      </c>
    </row>
    <row r="1967" spans="2:5">
      <c r="B1967" t="s">
        <v>14</v>
      </c>
      <c r="C1967" s="48" t="s">
        <v>15</v>
      </c>
      <c r="D1967" s="49">
        <v>45917</v>
      </c>
      <c r="E1967" s="10">
        <v>22</v>
      </c>
    </row>
    <row r="1968" spans="2:5">
      <c r="B1968" t="s">
        <v>24</v>
      </c>
      <c r="C1968" s="48" t="s">
        <v>25</v>
      </c>
      <c r="D1968" s="49">
        <v>45917</v>
      </c>
      <c r="E1968" s="10">
        <v>4</v>
      </c>
    </row>
    <row r="1969" spans="2:5">
      <c r="B1969" t="s">
        <v>31</v>
      </c>
      <c r="C1969" s="48" t="s">
        <v>32</v>
      </c>
      <c r="D1969" s="49">
        <v>45918</v>
      </c>
      <c r="E1969" s="10">
        <v>481.2</v>
      </c>
    </row>
    <row r="1970" spans="2:5">
      <c r="B1970" t="s">
        <v>4</v>
      </c>
      <c r="C1970" s="48" t="s">
        <v>5</v>
      </c>
      <c r="D1970" s="49">
        <v>45918</v>
      </c>
      <c r="E1970" s="10">
        <v>306</v>
      </c>
    </row>
    <row r="1971" spans="2:5">
      <c r="B1971" t="s">
        <v>12</v>
      </c>
      <c r="C1971" s="48" t="s">
        <v>13</v>
      </c>
      <c r="D1971" s="49">
        <v>45918</v>
      </c>
      <c r="E1971" s="10">
        <v>141</v>
      </c>
    </row>
    <row r="1972" spans="2:5">
      <c r="B1972" t="s">
        <v>8</v>
      </c>
      <c r="C1972" s="48" t="s">
        <v>9</v>
      </c>
      <c r="D1972" s="49">
        <v>45918</v>
      </c>
      <c r="E1972" s="10">
        <v>109</v>
      </c>
    </row>
    <row r="1973" spans="2:5">
      <c r="B1973" t="s">
        <v>16</v>
      </c>
      <c r="C1973" s="48" t="s">
        <v>17</v>
      </c>
      <c r="D1973" s="49">
        <v>45918</v>
      </c>
      <c r="E1973" s="10">
        <v>100</v>
      </c>
    </row>
    <row r="1974" spans="2:5">
      <c r="B1974" t="s">
        <v>6</v>
      </c>
      <c r="C1974" s="48" t="s">
        <v>7</v>
      </c>
      <c r="D1974" s="49">
        <v>45918</v>
      </c>
      <c r="E1974" s="10">
        <v>84</v>
      </c>
    </row>
    <row r="1975" spans="2:5">
      <c r="B1975" t="s">
        <v>14</v>
      </c>
      <c r="C1975" s="48" t="s">
        <v>15</v>
      </c>
      <c r="D1975" s="49">
        <v>45918</v>
      </c>
      <c r="E1975" s="10">
        <v>73</v>
      </c>
    </row>
    <row r="1976" spans="2:5">
      <c r="B1976" t="s">
        <v>18</v>
      </c>
      <c r="C1976" s="48" t="s">
        <v>19</v>
      </c>
      <c r="D1976" s="49">
        <v>45918</v>
      </c>
      <c r="E1976" s="10">
        <v>36</v>
      </c>
    </row>
    <row r="1977" spans="2:5">
      <c r="B1977" t="s">
        <v>24</v>
      </c>
      <c r="C1977" s="48" t="s">
        <v>25</v>
      </c>
      <c r="D1977" s="49">
        <v>45918</v>
      </c>
      <c r="E1977" s="10">
        <v>35</v>
      </c>
    </row>
    <row r="1978" spans="2:5">
      <c r="B1978" t="s">
        <v>20</v>
      </c>
      <c r="C1978" s="48" t="s">
        <v>21</v>
      </c>
      <c r="D1978" s="49">
        <v>45918</v>
      </c>
      <c r="E1978" s="10">
        <v>25</v>
      </c>
    </row>
    <row r="1979" spans="2:5">
      <c r="B1979" t="s">
        <v>10</v>
      </c>
      <c r="C1979" s="48" t="s">
        <v>11</v>
      </c>
      <c r="D1979" s="49">
        <v>45918</v>
      </c>
      <c r="E1979" s="10">
        <v>25</v>
      </c>
    </row>
    <row r="1980" spans="2:5">
      <c r="B1980" t="s">
        <v>22</v>
      </c>
      <c r="C1980" s="48" t="s">
        <v>23</v>
      </c>
      <c r="D1980" s="49">
        <v>45918</v>
      </c>
      <c r="E1980" s="10">
        <v>20</v>
      </c>
    </row>
    <row r="1981" spans="2:5">
      <c r="B1981" t="s">
        <v>4</v>
      </c>
      <c r="C1981" s="48" t="s">
        <v>5</v>
      </c>
      <c r="D1981" s="49">
        <v>45919</v>
      </c>
      <c r="E1981" s="10">
        <v>577</v>
      </c>
    </row>
    <row r="1982" spans="2:5">
      <c r="B1982" t="s">
        <v>31</v>
      </c>
      <c r="C1982" s="48" t="s">
        <v>32</v>
      </c>
      <c r="D1982" s="49">
        <v>45919</v>
      </c>
      <c r="E1982" s="10">
        <v>207.5</v>
      </c>
    </row>
    <row r="1983" spans="2:5">
      <c r="B1983" t="s">
        <v>8</v>
      </c>
      <c r="C1983" s="48" t="s">
        <v>9</v>
      </c>
      <c r="D1983" s="49">
        <v>45919</v>
      </c>
      <c r="E1983" s="10">
        <v>133</v>
      </c>
    </row>
    <row r="1984" spans="2:5">
      <c r="B1984" t="s">
        <v>20</v>
      </c>
      <c r="C1984" s="48" t="s">
        <v>21</v>
      </c>
      <c r="D1984" s="49">
        <v>45919</v>
      </c>
      <c r="E1984" s="10">
        <v>105</v>
      </c>
    </row>
    <row r="1985" spans="2:5">
      <c r="B1985" t="s">
        <v>6</v>
      </c>
      <c r="C1985" s="48" t="s">
        <v>7</v>
      </c>
      <c r="D1985" s="49">
        <v>45919</v>
      </c>
      <c r="E1985" s="10">
        <v>87</v>
      </c>
    </row>
    <row r="1986" spans="2:5">
      <c r="B1986" t="s">
        <v>12</v>
      </c>
      <c r="C1986" s="48" t="s">
        <v>13</v>
      </c>
      <c r="D1986" s="49">
        <v>45919</v>
      </c>
      <c r="E1986" s="10">
        <v>64</v>
      </c>
    </row>
    <row r="1987" spans="2:5">
      <c r="B1987" t="s">
        <v>16</v>
      </c>
      <c r="C1987" s="48" t="s">
        <v>17</v>
      </c>
      <c r="D1987" s="49">
        <v>45919</v>
      </c>
      <c r="E1987" s="10">
        <v>50</v>
      </c>
    </row>
    <row r="1988" spans="2:5">
      <c r="B1988" t="s">
        <v>37</v>
      </c>
      <c r="C1988" s="48" t="s">
        <v>38</v>
      </c>
      <c r="D1988" s="49">
        <v>45919</v>
      </c>
      <c r="E1988" s="10">
        <v>42</v>
      </c>
    </row>
    <row r="1989" spans="2:5">
      <c r="B1989" t="s">
        <v>24</v>
      </c>
      <c r="C1989" s="48" t="s">
        <v>25</v>
      </c>
      <c r="D1989" s="49">
        <v>45919</v>
      </c>
      <c r="E1989" s="10">
        <v>23</v>
      </c>
    </row>
    <row r="1990" spans="2:5">
      <c r="B1990" t="s">
        <v>35</v>
      </c>
      <c r="C1990" s="48" t="s">
        <v>36</v>
      </c>
      <c r="D1990" s="49">
        <v>45919</v>
      </c>
      <c r="E1990" s="10">
        <v>22</v>
      </c>
    </row>
    <row r="1991" spans="2:5">
      <c r="B1991" t="s">
        <v>10</v>
      </c>
      <c r="C1991" s="48" t="s">
        <v>11</v>
      </c>
      <c r="D1991" s="49">
        <v>45919</v>
      </c>
      <c r="E1991" s="10">
        <v>19</v>
      </c>
    </row>
    <row r="1992" spans="2:5">
      <c r="B1992" t="s">
        <v>22</v>
      </c>
      <c r="C1992" s="48" t="s">
        <v>23</v>
      </c>
      <c r="D1992" s="49">
        <v>45919</v>
      </c>
      <c r="E1992" s="10">
        <v>15</v>
      </c>
    </row>
    <row r="1993" spans="2:5">
      <c r="B1993" t="s">
        <v>14</v>
      </c>
      <c r="C1993" s="48" t="s">
        <v>15</v>
      </c>
      <c r="D1993" s="49">
        <v>45919</v>
      </c>
      <c r="E1993" s="10">
        <v>5</v>
      </c>
    </row>
    <row r="1994" spans="2:5">
      <c r="B1994" t="s">
        <v>4</v>
      </c>
      <c r="C1994" s="48" t="s">
        <v>5</v>
      </c>
      <c r="D1994" s="49">
        <v>45922</v>
      </c>
      <c r="E1994" s="10">
        <v>337.4</v>
      </c>
    </row>
    <row r="1995" spans="2:5">
      <c r="B1995" t="s">
        <v>8</v>
      </c>
      <c r="C1995" s="48" t="s">
        <v>9</v>
      </c>
      <c r="D1995" s="49">
        <v>45922</v>
      </c>
      <c r="E1995" s="10">
        <v>125</v>
      </c>
    </row>
    <row r="1996" spans="2:5">
      <c r="B1996" t="s">
        <v>6</v>
      </c>
      <c r="C1996" s="48" t="s">
        <v>7</v>
      </c>
      <c r="D1996" s="49">
        <v>45922</v>
      </c>
      <c r="E1996" s="10">
        <v>94</v>
      </c>
    </row>
    <row r="1997" spans="2:5">
      <c r="B1997" t="s">
        <v>12</v>
      </c>
      <c r="C1997" s="48" t="s">
        <v>13</v>
      </c>
      <c r="D1997" s="49">
        <v>45922</v>
      </c>
      <c r="E1997" s="10">
        <v>71</v>
      </c>
    </row>
    <row r="1998" spans="2:5">
      <c r="B1998" t="s">
        <v>10</v>
      </c>
      <c r="C1998" s="48" t="s">
        <v>11</v>
      </c>
      <c r="D1998" s="49">
        <v>45922</v>
      </c>
      <c r="E1998" s="10">
        <v>35</v>
      </c>
    </row>
    <row r="1999" spans="2:5">
      <c r="B1999" t="s">
        <v>16</v>
      </c>
      <c r="C1999" s="48" t="s">
        <v>17</v>
      </c>
      <c r="D1999" s="49">
        <v>45922</v>
      </c>
      <c r="E1999" s="10">
        <v>32</v>
      </c>
    </row>
    <row r="2000" spans="2:5">
      <c r="B2000" t="s">
        <v>35</v>
      </c>
      <c r="C2000" s="48" t="s">
        <v>36</v>
      </c>
      <c r="D2000" s="49">
        <v>45922</v>
      </c>
      <c r="E2000" s="10">
        <v>30</v>
      </c>
    </row>
    <row r="2001" spans="2:5">
      <c r="B2001" t="s">
        <v>37</v>
      </c>
      <c r="C2001" s="48" t="s">
        <v>38</v>
      </c>
      <c r="D2001" s="49">
        <v>45922</v>
      </c>
      <c r="E2001" s="10">
        <v>9</v>
      </c>
    </row>
    <row r="2002" spans="2:5">
      <c r="B2002" t="s">
        <v>4</v>
      </c>
      <c r="C2002" s="48" t="s">
        <v>5</v>
      </c>
      <c r="D2002" s="49">
        <v>45923</v>
      </c>
      <c r="E2002" s="10">
        <v>341.5</v>
      </c>
    </row>
    <row r="2003" spans="2:5">
      <c r="B2003" t="s">
        <v>12</v>
      </c>
      <c r="C2003" s="48" t="s">
        <v>13</v>
      </c>
      <c r="D2003" s="49">
        <v>45923</v>
      </c>
      <c r="E2003" s="10">
        <v>105</v>
      </c>
    </row>
    <row r="2004" spans="2:5">
      <c r="B2004" t="s">
        <v>8</v>
      </c>
      <c r="C2004" s="48" t="s">
        <v>9</v>
      </c>
      <c r="D2004" s="49">
        <v>45923</v>
      </c>
      <c r="E2004" s="10">
        <v>96</v>
      </c>
    </row>
    <row r="2005" spans="2:5">
      <c r="B2005" t="s">
        <v>10</v>
      </c>
      <c r="C2005" s="48" t="s">
        <v>11</v>
      </c>
      <c r="D2005" s="49">
        <v>45923</v>
      </c>
      <c r="E2005" s="10">
        <v>80</v>
      </c>
    </row>
    <row r="2006" spans="2:5">
      <c r="B2006" t="s">
        <v>6</v>
      </c>
      <c r="C2006" s="48" t="s">
        <v>7</v>
      </c>
      <c r="D2006" s="49">
        <v>45923</v>
      </c>
      <c r="E2006" s="10">
        <v>64</v>
      </c>
    </row>
    <row r="2007" spans="2:5">
      <c r="B2007" t="s">
        <v>16</v>
      </c>
      <c r="C2007" s="48" t="s">
        <v>17</v>
      </c>
      <c r="D2007" s="49">
        <v>45923</v>
      </c>
      <c r="E2007" s="10">
        <v>42</v>
      </c>
    </row>
    <row r="2008" spans="2:5">
      <c r="B2008" t="s">
        <v>14</v>
      </c>
      <c r="C2008" s="48" t="s">
        <v>15</v>
      </c>
      <c r="D2008" s="49">
        <v>45923</v>
      </c>
      <c r="E2008" s="10">
        <v>14</v>
      </c>
    </row>
    <row r="2009" spans="2:5">
      <c r="B2009" t="s">
        <v>37</v>
      </c>
      <c r="C2009" s="48" t="s">
        <v>38</v>
      </c>
      <c r="D2009" s="49">
        <v>45923</v>
      </c>
      <c r="E2009" s="10">
        <v>12</v>
      </c>
    </row>
    <row r="2010" spans="2:5">
      <c r="B2010" t="s">
        <v>24</v>
      </c>
      <c r="C2010" s="48" t="s">
        <v>25</v>
      </c>
      <c r="D2010" s="49">
        <v>45923</v>
      </c>
      <c r="E2010" s="10">
        <v>8</v>
      </c>
    </row>
    <row r="2011" spans="2:5">
      <c r="B2011" t="s">
        <v>35</v>
      </c>
      <c r="C2011" s="48" t="s">
        <v>36</v>
      </c>
      <c r="D2011" s="49">
        <v>45923</v>
      </c>
      <c r="E2011" s="10">
        <v>5</v>
      </c>
    </row>
    <row r="2012" spans="2:5">
      <c r="B2012" t="s">
        <v>4</v>
      </c>
      <c r="C2012" s="48" t="s">
        <v>5</v>
      </c>
      <c r="D2012" s="49">
        <v>45924</v>
      </c>
      <c r="E2012" s="10">
        <v>205</v>
      </c>
    </row>
    <row r="2013" spans="2:5">
      <c r="B2013" t="s">
        <v>8</v>
      </c>
      <c r="C2013" s="48" t="s">
        <v>9</v>
      </c>
      <c r="D2013" s="49">
        <v>45924</v>
      </c>
      <c r="E2013" s="10">
        <v>166</v>
      </c>
    </row>
    <row r="2014" spans="2:5">
      <c r="B2014" t="s">
        <v>12</v>
      </c>
      <c r="C2014" s="48" t="s">
        <v>13</v>
      </c>
      <c r="D2014" s="49">
        <v>45924</v>
      </c>
      <c r="E2014" s="10">
        <v>91</v>
      </c>
    </row>
    <row r="2015" spans="2:5">
      <c r="B2015" t="s">
        <v>6</v>
      </c>
      <c r="C2015" s="48" t="s">
        <v>7</v>
      </c>
      <c r="D2015" s="49">
        <v>45924</v>
      </c>
      <c r="E2015" s="10">
        <v>63</v>
      </c>
    </row>
    <row r="2016" spans="2:5">
      <c r="B2016" t="s">
        <v>16</v>
      </c>
      <c r="C2016" s="48" t="s">
        <v>17</v>
      </c>
      <c r="D2016" s="49">
        <v>45924</v>
      </c>
      <c r="E2016" s="10">
        <v>46</v>
      </c>
    </row>
    <row r="2017" spans="2:5">
      <c r="B2017" t="s">
        <v>20</v>
      </c>
      <c r="C2017" s="48" t="s">
        <v>21</v>
      </c>
      <c r="D2017" s="49">
        <v>45924</v>
      </c>
      <c r="E2017" s="10">
        <v>36</v>
      </c>
    </row>
    <row r="2018" spans="2:5">
      <c r="B2018" t="s">
        <v>10</v>
      </c>
      <c r="C2018" s="48" t="s">
        <v>11</v>
      </c>
      <c r="D2018" s="49">
        <v>45924</v>
      </c>
      <c r="E2018" s="10">
        <v>24</v>
      </c>
    </row>
    <row r="2019" spans="2:5">
      <c r="B2019" t="s">
        <v>24</v>
      </c>
      <c r="C2019" s="48" t="s">
        <v>25</v>
      </c>
      <c r="D2019" s="49">
        <v>45924</v>
      </c>
      <c r="E2019" s="10">
        <v>17</v>
      </c>
    </row>
    <row r="2020" spans="2:5">
      <c r="B2020" t="s">
        <v>37</v>
      </c>
      <c r="C2020" s="48" t="s">
        <v>38</v>
      </c>
      <c r="D2020" s="49">
        <v>45924</v>
      </c>
      <c r="E2020" s="10">
        <v>8</v>
      </c>
    </row>
    <row r="2021" spans="2:5">
      <c r="B2021" t="s">
        <v>4</v>
      </c>
      <c r="C2021" s="48" t="s">
        <v>5</v>
      </c>
      <c r="D2021" s="49">
        <v>45925</v>
      </c>
      <c r="E2021" s="10">
        <v>260.9</v>
      </c>
    </row>
    <row r="2022" spans="2:5">
      <c r="B2022" t="s">
        <v>8</v>
      </c>
      <c r="C2022" s="48" t="s">
        <v>9</v>
      </c>
      <c r="D2022" s="49">
        <v>45925</v>
      </c>
      <c r="E2022" s="10">
        <v>167</v>
      </c>
    </row>
    <row r="2023" spans="2:5">
      <c r="B2023" t="s">
        <v>6</v>
      </c>
      <c r="C2023" s="48" t="s">
        <v>7</v>
      </c>
      <c r="D2023" s="49">
        <v>45925</v>
      </c>
      <c r="E2023" s="10">
        <v>98</v>
      </c>
    </row>
    <row r="2024" spans="2:5">
      <c r="B2024" t="s">
        <v>12</v>
      </c>
      <c r="C2024" s="48" t="s">
        <v>13</v>
      </c>
      <c r="D2024" s="49">
        <v>45925</v>
      </c>
      <c r="E2024" s="10">
        <v>78</v>
      </c>
    </row>
    <row r="2025" spans="2:5">
      <c r="B2025" t="s">
        <v>10</v>
      </c>
      <c r="C2025" s="48" t="s">
        <v>11</v>
      </c>
      <c r="D2025" s="49">
        <v>45925</v>
      </c>
      <c r="E2025" s="10">
        <v>52</v>
      </c>
    </row>
    <row r="2026" spans="2:5">
      <c r="B2026" t="s">
        <v>18</v>
      </c>
      <c r="C2026" s="48" t="s">
        <v>19</v>
      </c>
      <c r="D2026" s="49">
        <v>45925</v>
      </c>
      <c r="E2026" s="10">
        <v>50</v>
      </c>
    </row>
    <row r="2027" spans="2:5">
      <c r="B2027" t="s">
        <v>35</v>
      </c>
      <c r="C2027" s="48" t="s">
        <v>36</v>
      </c>
      <c r="D2027" s="49">
        <v>45925</v>
      </c>
      <c r="E2027" s="10">
        <v>42</v>
      </c>
    </row>
    <row r="2028" spans="2:5">
      <c r="B2028" t="s">
        <v>16</v>
      </c>
      <c r="C2028" s="48" t="s">
        <v>17</v>
      </c>
      <c r="D2028" s="49">
        <v>45925</v>
      </c>
      <c r="E2028" s="10">
        <v>37</v>
      </c>
    </row>
    <row r="2029" spans="2:5">
      <c r="B2029" t="s">
        <v>31</v>
      </c>
      <c r="C2029" s="48" t="s">
        <v>32</v>
      </c>
      <c r="D2029" s="49">
        <v>45925</v>
      </c>
      <c r="E2029" s="10">
        <v>35.1</v>
      </c>
    </row>
    <row r="2030" spans="2:5">
      <c r="B2030" t="s">
        <v>22</v>
      </c>
      <c r="C2030" s="48" t="s">
        <v>23</v>
      </c>
      <c r="D2030" s="49">
        <v>45925</v>
      </c>
      <c r="E2030" s="10">
        <v>25</v>
      </c>
    </row>
    <row r="2031" spans="2:5">
      <c r="B2031" t="s">
        <v>14</v>
      </c>
      <c r="C2031" s="48" t="s">
        <v>15</v>
      </c>
      <c r="D2031" s="49">
        <v>45925</v>
      </c>
      <c r="E2031" s="10">
        <v>16</v>
      </c>
    </row>
    <row r="2032" spans="2:5">
      <c r="B2032" t="s">
        <v>37</v>
      </c>
      <c r="C2032" s="48" t="s">
        <v>38</v>
      </c>
      <c r="D2032" s="49">
        <v>45925</v>
      </c>
      <c r="E2032" s="10">
        <v>14</v>
      </c>
    </row>
    <row r="2033" spans="2:5">
      <c r="B2033" t="s">
        <v>40</v>
      </c>
      <c r="C2033" s="48" t="s">
        <v>41</v>
      </c>
      <c r="D2033" s="49">
        <v>45925</v>
      </c>
      <c r="E2033" s="10">
        <v>7</v>
      </c>
    </row>
    <row r="2034" spans="2:5">
      <c r="B2034" t="s">
        <v>4</v>
      </c>
      <c r="C2034" s="48" t="s">
        <v>5</v>
      </c>
      <c r="D2034" s="49">
        <v>45926</v>
      </c>
      <c r="E2034" s="10">
        <v>588.85</v>
      </c>
    </row>
    <row r="2035" spans="2:5">
      <c r="B2035" t="s">
        <v>31</v>
      </c>
      <c r="C2035" s="48" t="s">
        <v>32</v>
      </c>
      <c r="D2035" s="49">
        <v>45926</v>
      </c>
      <c r="E2035" s="10">
        <v>160</v>
      </c>
    </row>
    <row r="2036" spans="2:5">
      <c r="B2036" t="s">
        <v>6</v>
      </c>
      <c r="C2036" s="48" t="s">
        <v>7</v>
      </c>
      <c r="D2036" s="49">
        <v>45926</v>
      </c>
      <c r="E2036" s="10">
        <v>122</v>
      </c>
    </row>
    <row r="2037" spans="2:5">
      <c r="B2037" t="s">
        <v>8</v>
      </c>
      <c r="C2037" s="48" t="s">
        <v>9</v>
      </c>
      <c r="D2037" s="49">
        <v>45926</v>
      </c>
      <c r="E2037" s="10">
        <v>109</v>
      </c>
    </row>
    <row r="2038" spans="2:5">
      <c r="B2038" t="s">
        <v>18</v>
      </c>
      <c r="C2038" s="48" t="s">
        <v>19</v>
      </c>
      <c r="D2038" s="49">
        <v>45926</v>
      </c>
      <c r="E2038" s="10">
        <v>67</v>
      </c>
    </row>
    <row r="2039" spans="2:5">
      <c r="B2039" t="s">
        <v>24</v>
      </c>
      <c r="C2039" s="48" t="s">
        <v>25</v>
      </c>
      <c r="D2039" s="49">
        <v>45926</v>
      </c>
      <c r="E2039" s="10">
        <v>59</v>
      </c>
    </row>
    <row r="2040" spans="2:5">
      <c r="B2040" t="s">
        <v>14</v>
      </c>
      <c r="C2040" s="48" t="s">
        <v>15</v>
      </c>
      <c r="D2040" s="49">
        <v>45926</v>
      </c>
      <c r="E2040" s="10">
        <v>52</v>
      </c>
    </row>
    <row r="2041" spans="2:5">
      <c r="B2041" t="s">
        <v>10</v>
      </c>
      <c r="C2041" s="48" t="s">
        <v>11</v>
      </c>
      <c r="D2041" s="49">
        <v>45926</v>
      </c>
      <c r="E2041" s="10">
        <v>52</v>
      </c>
    </row>
    <row r="2042" spans="2:5">
      <c r="B2042" t="s">
        <v>12</v>
      </c>
      <c r="C2042" s="48" t="s">
        <v>13</v>
      </c>
      <c r="D2042" s="49">
        <v>45926</v>
      </c>
      <c r="E2042" s="10">
        <v>49</v>
      </c>
    </row>
    <row r="2043" spans="2:5">
      <c r="B2043" t="s">
        <v>35</v>
      </c>
      <c r="C2043" s="48" t="s">
        <v>36</v>
      </c>
      <c r="D2043" s="49">
        <v>45926</v>
      </c>
      <c r="E2043" s="10">
        <v>31</v>
      </c>
    </row>
    <row r="2044" spans="2:5">
      <c r="B2044" t="s">
        <v>20</v>
      </c>
      <c r="C2044" s="48" t="s">
        <v>21</v>
      </c>
      <c r="D2044" s="49">
        <v>45926</v>
      </c>
      <c r="E2044" s="10">
        <v>28</v>
      </c>
    </row>
    <row r="2045" spans="2:5">
      <c r="B2045" t="s">
        <v>37</v>
      </c>
      <c r="C2045" s="48" t="s">
        <v>38</v>
      </c>
      <c r="D2045" s="49">
        <v>45926</v>
      </c>
      <c r="E2045" s="10">
        <v>16</v>
      </c>
    </row>
    <row r="2046" spans="2:5">
      <c r="B2046" t="s">
        <v>22</v>
      </c>
      <c r="C2046" s="48" t="s">
        <v>23</v>
      </c>
      <c r="D2046" s="49">
        <v>45926</v>
      </c>
      <c r="E2046" s="10">
        <v>14</v>
      </c>
    </row>
    <row r="2047" spans="2:5">
      <c r="B2047" t="s">
        <v>16</v>
      </c>
      <c r="C2047" s="48" t="s">
        <v>17</v>
      </c>
      <c r="D2047" s="49">
        <v>45926</v>
      </c>
      <c r="E2047" s="10">
        <v>3</v>
      </c>
    </row>
    <row r="2048" spans="2:5">
      <c r="B2048" t="s">
        <v>4</v>
      </c>
      <c r="C2048" s="48" t="s">
        <v>5</v>
      </c>
      <c r="D2048" s="49">
        <v>45929</v>
      </c>
      <c r="E2048" s="10">
        <v>353</v>
      </c>
    </row>
    <row r="2049" spans="2:5">
      <c r="B2049" t="s">
        <v>12</v>
      </c>
      <c r="C2049" s="48" t="s">
        <v>13</v>
      </c>
      <c r="D2049" s="49">
        <v>45929</v>
      </c>
      <c r="E2049" s="10">
        <v>164</v>
      </c>
    </row>
    <row r="2050" spans="2:5">
      <c r="B2050" t="s">
        <v>8</v>
      </c>
      <c r="C2050" s="48" t="s">
        <v>9</v>
      </c>
      <c r="D2050" s="49">
        <v>45929</v>
      </c>
      <c r="E2050" s="10">
        <v>106</v>
      </c>
    </row>
    <row r="2051" spans="2:5">
      <c r="B2051" t="s">
        <v>6</v>
      </c>
      <c r="C2051" s="48" t="s">
        <v>7</v>
      </c>
      <c r="D2051" s="49">
        <v>45929</v>
      </c>
      <c r="E2051" s="10">
        <v>93</v>
      </c>
    </row>
    <row r="2052" spans="2:5">
      <c r="B2052" t="s">
        <v>16</v>
      </c>
      <c r="C2052" s="48" t="s">
        <v>17</v>
      </c>
      <c r="D2052" s="49">
        <v>45929</v>
      </c>
      <c r="E2052" s="10">
        <v>83</v>
      </c>
    </row>
    <row r="2053" spans="2:5">
      <c r="B2053" t="s">
        <v>31</v>
      </c>
      <c r="C2053" s="48" t="s">
        <v>32</v>
      </c>
      <c r="D2053" s="49">
        <v>45929</v>
      </c>
      <c r="E2053" s="10">
        <v>78.2</v>
      </c>
    </row>
    <row r="2054" spans="2:5">
      <c r="B2054" t="s">
        <v>10</v>
      </c>
      <c r="C2054" s="48" t="s">
        <v>11</v>
      </c>
      <c r="D2054" s="49">
        <v>45929</v>
      </c>
      <c r="E2054" s="10">
        <v>57</v>
      </c>
    </row>
    <row r="2055" spans="2:5">
      <c r="B2055" t="s">
        <v>20</v>
      </c>
      <c r="C2055" s="48" t="s">
        <v>21</v>
      </c>
      <c r="D2055" s="49">
        <v>45929</v>
      </c>
      <c r="E2055" s="10">
        <v>56</v>
      </c>
    </row>
    <row r="2056" spans="2:5">
      <c r="B2056" t="s">
        <v>22</v>
      </c>
      <c r="C2056" s="48" t="s">
        <v>23</v>
      </c>
      <c r="D2056" s="49">
        <v>45929</v>
      </c>
      <c r="E2056" s="10">
        <v>36</v>
      </c>
    </row>
    <row r="2057" spans="2:5">
      <c r="B2057" t="s">
        <v>18</v>
      </c>
      <c r="C2057" s="48" t="s">
        <v>19</v>
      </c>
      <c r="D2057" s="49">
        <v>45929</v>
      </c>
      <c r="E2057" s="10">
        <v>10</v>
      </c>
    </row>
    <row r="2058" spans="2:5">
      <c r="B2058" t="s">
        <v>14</v>
      </c>
      <c r="C2058" s="48" t="s">
        <v>15</v>
      </c>
      <c r="D2058" s="49">
        <v>45929</v>
      </c>
      <c r="E2058" s="10">
        <v>9</v>
      </c>
    </row>
    <row r="2059" spans="2:5">
      <c r="B2059" t="s">
        <v>24</v>
      </c>
      <c r="C2059" s="48" t="s">
        <v>25</v>
      </c>
      <c r="D2059" s="49">
        <v>45929</v>
      </c>
      <c r="E2059" s="10">
        <v>4</v>
      </c>
    </row>
    <row r="2060" spans="2:5">
      <c r="B2060" t="s">
        <v>4</v>
      </c>
      <c r="C2060" s="48" t="s">
        <v>5</v>
      </c>
      <c r="D2060" s="49">
        <v>45930</v>
      </c>
      <c r="E2060" s="10">
        <v>1489.8</v>
      </c>
    </row>
    <row r="2061" spans="2:5">
      <c r="B2061" t="s">
        <v>31</v>
      </c>
      <c r="C2061" s="48" t="s">
        <v>32</v>
      </c>
      <c r="D2061" s="49">
        <v>45930</v>
      </c>
      <c r="E2061" s="10">
        <v>304.8</v>
      </c>
    </row>
    <row r="2062" spans="2:5">
      <c r="B2062" t="s">
        <v>8</v>
      </c>
      <c r="C2062" s="48" t="s">
        <v>9</v>
      </c>
      <c r="D2062" s="49">
        <v>45930</v>
      </c>
      <c r="E2062" s="10">
        <v>124</v>
      </c>
    </row>
    <row r="2063" spans="2:5">
      <c r="B2063" t="s">
        <v>6</v>
      </c>
      <c r="C2063" s="48" t="s">
        <v>7</v>
      </c>
      <c r="D2063" s="49">
        <v>45930</v>
      </c>
      <c r="E2063" s="10">
        <v>83</v>
      </c>
    </row>
    <row r="2064" spans="2:5">
      <c r="B2064" t="s">
        <v>37</v>
      </c>
      <c r="C2064" s="48" t="s">
        <v>38</v>
      </c>
      <c r="D2064" s="49">
        <v>45930</v>
      </c>
      <c r="E2064" s="10">
        <v>73</v>
      </c>
    </row>
    <row r="2065" spans="2:5">
      <c r="B2065" t="s">
        <v>14</v>
      </c>
      <c r="C2065" s="48" t="s">
        <v>15</v>
      </c>
      <c r="D2065" s="49">
        <v>45930</v>
      </c>
      <c r="E2065" s="10">
        <v>72</v>
      </c>
    </row>
    <row r="2066" spans="2:5">
      <c r="B2066" t="s">
        <v>16</v>
      </c>
      <c r="C2066" s="48" t="s">
        <v>17</v>
      </c>
      <c r="D2066" s="49">
        <v>45930</v>
      </c>
      <c r="E2066" s="10">
        <v>70</v>
      </c>
    </row>
    <row r="2067" spans="2:5">
      <c r="B2067" t="s">
        <v>12</v>
      </c>
      <c r="C2067" s="48" t="s">
        <v>13</v>
      </c>
      <c r="D2067" s="49">
        <v>45930</v>
      </c>
      <c r="E2067" s="10">
        <v>63</v>
      </c>
    </row>
    <row r="2068" spans="2:5">
      <c r="B2068" t="s">
        <v>35</v>
      </c>
      <c r="C2068" s="48" t="s">
        <v>36</v>
      </c>
      <c r="D2068" s="49">
        <v>45930</v>
      </c>
      <c r="E2068" s="10">
        <v>52</v>
      </c>
    </row>
    <row r="2069" spans="2:5">
      <c r="B2069" t="s">
        <v>18</v>
      </c>
      <c r="C2069" s="48" t="s">
        <v>19</v>
      </c>
      <c r="D2069" s="49">
        <v>45930</v>
      </c>
      <c r="E2069" s="10">
        <v>49</v>
      </c>
    </row>
    <row r="2070" spans="2:5">
      <c r="B2070" t="s">
        <v>10</v>
      </c>
      <c r="C2070" s="48" t="s">
        <v>11</v>
      </c>
      <c r="D2070" s="49">
        <v>45930</v>
      </c>
      <c r="E2070" s="10">
        <v>31</v>
      </c>
    </row>
    <row r="2071" spans="2:5">
      <c r="B2071" t="s">
        <v>33</v>
      </c>
      <c r="C2071" s="48" t="s">
        <v>34</v>
      </c>
      <c r="D2071" s="49">
        <v>45930</v>
      </c>
      <c r="E2071" s="10">
        <v>30</v>
      </c>
    </row>
    <row r="2072" spans="2:5">
      <c r="B2072" t="s">
        <v>20</v>
      </c>
      <c r="C2072" s="48" t="s">
        <v>21</v>
      </c>
      <c r="D2072" s="49">
        <v>45930</v>
      </c>
      <c r="E2072" s="10">
        <v>23</v>
      </c>
    </row>
    <row r="2073" spans="2:5">
      <c r="B2073" t="s">
        <v>24</v>
      </c>
      <c r="C2073" s="48" t="s">
        <v>25</v>
      </c>
      <c r="D2073" s="49">
        <v>45930</v>
      </c>
      <c r="E2073" s="10">
        <v>19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showGridLines="0" tabSelected="1" topLeftCell="A2" workbookViewId="0">
      <selection activeCell="B5" sqref="B5"/>
    </sheetView>
  </sheetViews>
  <sheetFormatPr defaultColWidth="9" defaultRowHeight="15"/>
  <cols>
    <col min="1" max="1" width="2.28571428571429" customWidth="1"/>
    <col min="2" max="2" width="8.71428571428571" customWidth="1"/>
    <col min="3" max="3" width="29.7142857142857" customWidth="1"/>
    <col min="4" max="4" width="11.1428571428571" customWidth="1"/>
    <col min="5" max="5" width="4.42857142857143" customWidth="1"/>
    <col min="6" max="6" width="10.8571428571429" hidden="1" customWidth="1"/>
    <col min="7" max="7" width="6" customWidth="1"/>
    <col min="8" max="8" width="10.1428571428571" customWidth="1"/>
    <col min="9" max="9" width="8.14285714285714" style="10" customWidth="1"/>
    <col min="10" max="10" width="7.57142857142857" style="10" customWidth="1"/>
    <col min="11" max="11" width="11.7142857142857" style="10" customWidth="1"/>
    <col min="12" max="12" width="12.8571428571429" style="10" customWidth="1"/>
    <col min="13" max="13" width="10" style="10" customWidth="1"/>
    <col min="14" max="14" width="15.8571428571429" style="10" customWidth="1"/>
    <col min="15" max="15" width="17.7142857142857" style="10" customWidth="1"/>
    <col min="16" max="17" width="14.2857142857143" style="10" customWidth="1"/>
  </cols>
  <sheetData>
    <row r="1" ht="31.5" spans="1:17">
      <c r="A1" s="1"/>
      <c r="B1" s="1"/>
      <c r="C1" s="1"/>
      <c r="D1" s="1"/>
      <c r="E1" s="1"/>
      <c r="F1" s="34"/>
      <c r="G1" s="35" t="s">
        <v>48</v>
      </c>
      <c r="H1" s="35">
        <f>SUMIF(G:G,G1,Q:Q)</f>
        <v>3700</v>
      </c>
      <c r="I1" s="1"/>
      <c r="J1" s="1"/>
      <c r="K1" s="1"/>
      <c r="L1" s="1"/>
      <c r="M1" s="1"/>
      <c r="N1" s="1"/>
      <c r="O1" s="1"/>
      <c r="P1" s="1"/>
      <c r="Q1" s="1"/>
    </row>
    <row r="2" ht="31.5" spans="1:17">
      <c r="A2" s="1"/>
      <c r="B2" s="1"/>
      <c r="C2" s="1"/>
      <c r="D2" s="1"/>
      <c r="E2" s="1"/>
      <c r="F2" s="34"/>
      <c r="G2" s="35" t="s">
        <v>49</v>
      </c>
      <c r="H2" s="35">
        <f>SUMIF(G:G,G2,Q:Q)</f>
        <v>900</v>
      </c>
      <c r="I2" s="1"/>
      <c r="J2" s="1"/>
      <c r="K2" s="1"/>
      <c r="L2" s="1"/>
      <c r="M2" s="1"/>
      <c r="N2" s="1"/>
      <c r="O2" s="1"/>
      <c r="P2" s="1"/>
      <c r="Q2" s="1"/>
    </row>
    <row r="3" ht="31.5" spans="1:17">
      <c r="A3" s="1"/>
      <c r="B3" s="1"/>
      <c r="C3" s="1"/>
      <c r="D3" s="1"/>
      <c r="E3" s="1"/>
      <c r="F3" s="34"/>
      <c r="G3" s="35" t="s">
        <v>50</v>
      </c>
      <c r="H3" s="35">
        <f>IFERROR(SUMIF(G:G,G3,Q:Q),0)</f>
        <v>1900</v>
      </c>
      <c r="I3" s="1"/>
      <c r="J3" s="1"/>
      <c r="K3" s="40"/>
      <c r="L3" s="41"/>
      <c r="M3" s="35">
        <f>'Cálculo de Estoque'!C9</f>
        <v>5</v>
      </c>
      <c r="N3" s="35">
        <f>'Cálculo de Estoque'!C10</f>
        <v>0.6</v>
      </c>
      <c r="O3" s="1"/>
      <c r="P3" s="1"/>
      <c r="Q3" s="1"/>
    </row>
    <row r="4" spans="2:17">
      <c r="B4" s="36" t="s">
        <v>0</v>
      </c>
      <c r="C4" s="36" t="s">
        <v>51</v>
      </c>
      <c r="D4" s="36" t="s">
        <v>52</v>
      </c>
      <c r="E4" s="36" t="s">
        <v>53</v>
      </c>
      <c r="F4" s="36" t="s">
        <v>54</v>
      </c>
      <c r="G4" s="36" t="s">
        <v>55</v>
      </c>
      <c r="H4" s="36" t="s">
        <v>56</v>
      </c>
      <c r="I4" s="42" t="s">
        <v>57</v>
      </c>
      <c r="J4" s="42" t="s">
        <v>58</v>
      </c>
      <c r="K4" s="42" t="s">
        <v>59</v>
      </c>
      <c r="L4" s="42" t="s">
        <v>60</v>
      </c>
      <c r="M4" s="42" t="s">
        <v>61</v>
      </c>
      <c r="N4" s="42" t="s">
        <v>62</v>
      </c>
      <c r="O4" s="42" t="s">
        <v>63</v>
      </c>
      <c r="P4" s="42" t="s">
        <v>64</v>
      </c>
      <c r="Q4" s="42" t="s">
        <v>65</v>
      </c>
    </row>
    <row r="5" spans="2:17">
      <c r="B5" s="37" t="s">
        <v>8</v>
      </c>
      <c r="C5" s="37" t="s">
        <v>9</v>
      </c>
      <c r="D5" s="38">
        <v>22171</v>
      </c>
      <c r="E5" s="39">
        <v>0.255480718816799</v>
      </c>
      <c r="F5" s="39">
        <v>0.255480718816799</v>
      </c>
      <c r="G5" s="37" t="s">
        <v>48</v>
      </c>
      <c r="H5" s="38">
        <v>124</v>
      </c>
      <c r="I5" s="38">
        <f>H5*23</f>
        <v>2852</v>
      </c>
      <c r="J5" s="38">
        <f>ROUNDUP(AVERAGEIF(tSaida[Produto],B5,tSaida[Saída / Demanda]),-1)</f>
        <v>120</v>
      </c>
      <c r="K5" s="38" cm="1">
        <f t="array" ref="K5">IFERROR(_xlfn.STDEV.S(IF(tSaida[Produto]=Consolidação!B5,tSaida[Saída / Demanda])),0)</f>
        <v>91.264299005771</v>
      </c>
      <c r="L5" s="39">
        <f>K5/J5</f>
        <v>0.760535825048092</v>
      </c>
      <c r="M5" s="38">
        <f t="shared" ref="M5:M25" si="0">$M$3</f>
        <v>5</v>
      </c>
      <c r="N5" s="39">
        <f t="shared" ref="N5:N25" si="1">$N$3</f>
        <v>0.6</v>
      </c>
      <c r="O5" s="38">
        <f>ROUNDUP(NORMSINV(N5)*SQRT((K5^2)*M5+(J5^2)*(1^2)),-1)</f>
        <v>60</v>
      </c>
      <c r="P5" s="38">
        <f>J5*M5+O5</f>
        <v>660</v>
      </c>
      <c r="Q5" s="38">
        <f t="shared" ref="Q5:Q25" si="2">ROUNDUP(IFERROR((J5+O5)*M5,""),-2)</f>
        <v>900</v>
      </c>
    </row>
    <row r="6" spans="2:17">
      <c r="B6" s="37" t="s">
        <v>12</v>
      </c>
      <c r="C6" s="37" t="s">
        <v>13</v>
      </c>
      <c r="D6" s="38">
        <v>14858</v>
      </c>
      <c r="E6" s="39">
        <v>0.171211606160299</v>
      </c>
      <c r="F6" s="39">
        <v>0.426692324977098</v>
      </c>
      <c r="G6" s="37" t="s">
        <v>48</v>
      </c>
      <c r="H6" s="38">
        <v>83</v>
      </c>
      <c r="I6" s="38">
        <f t="shared" ref="I6:I25" si="3">H6*23</f>
        <v>1909</v>
      </c>
      <c r="J6" s="38">
        <f>ROUNDUP(AVERAGEIF(tSaida[Produto],B6,tSaida[Saída / Demanda]),-1)</f>
        <v>80</v>
      </c>
      <c r="K6" s="38" cm="1">
        <f t="array" ref="K6">IFERROR(_xlfn.STDEV.S(IF(tSaida[Produto]=Consolidação!B6,tSaida[Saída / Demanda])),0)</f>
        <v>57.4044571724657</v>
      </c>
      <c r="L6" s="39">
        <f t="shared" ref="L6:L25" si="4">K6/J6</f>
        <v>0.717555714655821</v>
      </c>
      <c r="M6" s="38">
        <f t="shared" si="0"/>
        <v>5</v>
      </c>
      <c r="N6" s="39">
        <f t="shared" si="1"/>
        <v>0.6</v>
      </c>
      <c r="O6" s="38">
        <f t="shared" ref="O6:O25" si="5">ROUNDUP(NORMSINV(N6)*SQRT((K6^2)*M6+(J6^2)*(1^2)),-1)</f>
        <v>40</v>
      </c>
      <c r="P6" s="38">
        <f t="shared" ref="P6:P25" si="6">J6*M6+O6</f>
        <v>440</v>
      </c>
      <c r="Q6" s="38">
        <f t="shared" si="2"/>
        <v>600</v>
      </c>
    </row>
    <row r="7" spans="2:17">
      <c r="B7" s="37" t="s">
        <v>6</v>
      </c>
      <c r="C7" s="37" t="s">
        <v>7</v>
      </c>
      <c r="D7" s="38">
        <v>12040</v>
      </c>
      <c r="E7" s="39">
        <v>0.138739247420245</v>
      </c>
      <c r="F7" s="39">
        <v>0.565431572397343</v>
      </c>
      <c r="G7" s="37" t="s">
        <v>48</v>
      </c>
      <c r="H7" s="38">
        <v>67</v>
      </c>
      <c r="I7" s="38">
        <f t="shared" si="3"/>
        <v>1541</v>
      </c>
      <c r="J7" s="38">
        <f>ROUNDUP(AVERAGEIF(tSaida[Produto],B7,tSaida[Saída / Demanda]),-1)</f>
        <v>70</v>
      </c>
      <c r="K7" s="38" cm="1">
        <f t="array" ref="K7">IFERROR(_xlfn.STDEV.S(IF(tSaida[Produto]=Consolidação!B7,tSaida[Saída / Demanda])),0)</f>
        <v>47.6952385614498</v>
      </c>
      <c r="L7" s="39">
        <f t="shared" si="4"/>
        <v>0.681360550877854</v>
      </c>
      <c r="M7" s="38">
        <f t="shared" si="0"/>
        <v>5</v>
      </c>
      <c r="N7" s="39">
        <f t="shared" si="1"/>
        <v>0.6</v>
      </c>
      <c r="O7" s="38">
        <f t="shared" si="5"/>
        <v>40</v>
      </c>
      <c r="P7" s="38">
        <f t="shared" si="6"/>
        <v>390</v>
      </c>
      <c r="Q7" s="38">
        <f t="shared" si="2"/>
        <v>600</v>
      </c>
    </row>
    <row r="8" spans="2:17">
      <c r="B8" s="37" t="s">
        <v>16</v>
      </c>
      <c r="C8" s="37" t="s">
        <v>17</v>
      </c>
      <c r="D8" s="38">
        <v>9418</v>
      </c>
      <c r="E8" s="39">
        <v>0.108525434568428</v>
      </c>
      <c r="F8" s="39">
        <v>0.67395700696577</v>
      </c>
      <c r="G8" s="37" t="s">
        <v>48</v>
      </c>
      <c r="H8" s="38">
        <v>53</v>
      </c>
      <c r="I8" s="38">
        <f t="shared" si="3"/>
        <v>1219</v>
      </c>
      <c r="J8" s="38">
        <f>ROUNDUP(AVERAGEIF(tSaida[Produto],B8,tSaida[Saída / Demanda]),-1)</f>
        <v>60</v>
      </c>
      <c r="K8" s="38" cm="1">
        <f t="array" ref="K8">IFERROR(_xlfn.STDEV.S(IF(tSaida[Produto]=Consolidação!B8,tSaida[Saída / Demanda])),0)</f>
        <v>43.5281391174448</v>
      </c>
      <c r="L8" s="39">
        <f t="shared" si="4"/>
        <v>0.725468985290746</v>
      </c>
      <c r="M8" s="38">
        <f t="shared" si="0"/>
        <v>5</v>
      </c>
      <c r="N8" s="39">
        <f t="shared" si="1"/>
        <v>0.6</v>
      </c>
      <c r="O8" s="38">
        <f t="shared" si="5"/>
        <v>30</v>
      </c>
      <c r="P8" s="38">
        <f t="shared" si="6"/>
        <v>330</v>
      </c>
      <c r="Q8" s="38">
        <f t="shared" si="2"/>
        <v>500</v>
      </c>
    </row>
    <row r="9" spans="2:17">
      <c r="B9" s="37" t="s">
        <v>24</v>
      </c>
      <c r="C9" s="37" t="s">
        <v>25</v>
      </c>
      <c r="D9" s="38">
        <v>5005</v>
      </c>
      <c r="E9" s="39">
        <v>0.0576735825031833</v>
      </c>
      <c r="F9" s="39">
        <v>0.731630589468954</v>
      </c>
      <c r="G9" s="37" t="s">
        <v>48</v>
      </c>
      <c r="H9" s="38">
        <v>28</v>
      </c>
      <c r="I9" s="38">
        <f t="shared" si="3"/>
        <v>644</v>
      </c>
      <c r="J9" s="38">
        <f>ROUNDUP(AVERAGEIF(tSaida[Produto],B9,tSaida[Saída / Demanda]),-1)</f>
        <v>40</v>
      </c>
      <c r="K9" s="38" cm="1">
        <f t="array" ref="K9">IFERROR(_xlfn.STDEV.S(IF(tSaida[Produto]=Consolidação!B9,tSaida[Saída / Demanda])),0)</f>
        <v>35.5179574020416</v>
      </c>
      <c r="L9" s="39">
        <f t="shared" si="4"/>
        <v>0.887948935051041</v>
      </c>
      <c r="M9" s="38">
        <f t="shared" si="0"/>
        <v>5</v>
      </c>
      <c r="N9" s="39">
        <f t="shared" si="1"/>
        <v>0.6</v>
      </c>
      <c r="O9" s="38">
        <f t="shared" si="5"/>
        <v>30</v>
      </c>
      <c r="P9" s="38">
        <f t="shared" si="6"/>
        <v>230</v>
      </c>
      <c r="Q9" s="38">
        <f t="shared" si="2"/>
        <v>400</v>
      </c>
    </row>
    <row r="10" spans="2:17">
      <c r="B10" s="37" t="s">
        <v>35</v>
      </c>
      <c r="C10" s="37" t="s">
        <v>36</v>
      </c>
      <c r="D10" s="38">
        <v>4992.5</v>
      </c>
      <c r="E10" s="39">
        <v>0.0575295425868417</v>
      </c>
      <c r="F10" s="39">
        <v>0.789160132055795</v>
      </c>
      <c r="G10" s="37" t="s">
        <v>48</v>
      </c>
      <c r="H10" s="38">
        <v>28</v>
      </c>
      <c r="I10" s="38">
        <f t="shared" si="3"/>
        <v>644</v>
      </c>
      <c r="J10" s="38">
        <f>ROUNDUP(AVERAGEIF(tSaida[Produto],B10,tSaida[Saída / Demanda]),-1)</f>
        <v>40</v>
      </c>
      <c r="K10" s="38" cm="1">
        <f t="array" ref="K10">IFERROR(_xlfn.STDEV.S(IF(tSaida[Produto]=Consolidação!B10,tSaida[Saída / Demanda])),0)</f>
        <v>35.2197360187435</v>
      </c>
      <c r="L10" s="39">
        <f t="shared" si="4"/>
        <v>0.880493400468588</v>
      </c>
      <c r="M10" s="38">
        <f t="shared" si="0"/>
        <v>5</v>
      </c>
      <c r="N10" s="39">
        <f t="shared" si="1"/>
        <v>0.6</v>
      </c>
      <c r="O10" s="38">
        <f t="shared" si="5"/>
        <v>30</v>
      </c>
      <c r="P10" s="38">
        <f t="shared" si="6"/>
        <v>230</v>
      </c>
      <c r="Q10" s="38">
        <f t="shared" si="2"/>
        <v>400</v>
      </c>
    </row>
    <row r="11" spans="2:17">
      <c r="B11" s="37" t="s">
        <v>10</v>
      </c>
      <c r="C11" s="37" t="s">
        <v>11</v>
      </c>
      <c r="D11" s="38">
        <v>4944</v>
      </c>
      <c r="E11" s="39">
        <v>0.0569706677114362</v>
      </c>
      <c r="F11" s="39">
        <v>0.846130799767231</v>
      </c>
      <c r="G11" s="37" t="s">
        <v>48</v>
      </c>
      <c r="H11" s="38">
        <v>28</v>
      </c>
      <c r="I11" s="38">
        <f t="shared" si="3"/>
        <v>644</v>
      </c>
      <c r="J11" s="38">
        <f>ROUNDUP(AVERAGEIF(tSaida[Produto],B11,tSaida[Saída / Demanda]),-1)</f>
        <v>30</v>
      </c>
      <c r="K11" s="38" cm="1">
        <f t="array" ref="K11">IFERROR(_xlfn.STDEV.S(IF(tSaida[Produto]=Consolidação!B11,tSaida[Saída / Demanda])),0)</f>
        <v>25.3812783054631</v>
      </c>
      <c r="L11" s="39">
        <f t="shared" si="4"/>
        <v>0.846042610182105</v>
      </c>
      <c r="M11" s="38">
        <f t="shared" si="0"/>
        <v>5</v>
      </c>
      <c r="N11" s="39">
        <f t="shared" si="1"/>
        <v>0.6</v>
      </c>
      <c r="O11" s="38">
        <f t="shared" si="5"/>
        <v>20</v>
      </c>
      <c r="P11" s="38">
        <f t="shared" si="6"/>
        <v>170</v>
      </c>
      <c r="Q11" s="38">
        <f t="shared" si="2"/>
        <v>300</v>
      </c>
    </row>
    <row r="12" spans="2:17">
      <c r="B12" s="37" t="s">
        <v>37</v>
      </c>
      <c r="C12" s="37" t="s">
        <v>38</v>
      </c>
      <c r="D12" s="38">
        <v>2871</v>
      </c>
      <c r="E12" s="39">
        <v>0.0330830879853425</v>
      </c>
      <c r="F12" s="39">
        <v>0.879213887752574</v>
      </c>
      <c r="G12" s="37" t="s">
        <v>49</v>
      </c>
      <c r="H12" s="38">
        <v>16</v>
      </c>
      <c r="I12" s="38">
        <f t="shared" si="3"/>
        <v>368</v>
      </c>
      <c r="J12" s="38">
        <f>ROUNDUP(AVERAGEIF(tSaida[Produto],B12,tSaida[Saída / Demanda]),-1)</f>
        <v>30</v>
      </c>
      <c r="K12" s="38" cm="1">
        <f t="array" ref="K12">IFERROR(_xlfn.STDEV.S(IF(tSaida[Produto]=Consolidação!B12,tSaida[Saída / Demanda])),0)</f>
        <v>21.9617091016766</v>
      </c>
      <c r="L12" s="39">
        <f t="shared" si="4"/>
        <v>0.732056970055888</v>
      </c>
      <c r="M12" s="38">
        <f t="shared" si="0"/>
        <v>5</v>
      </c>
      <c r="N12" s="39">
        <f t="shared" si="1"/>
        <v>0.6</v>
      </c>
      <c r="O12" s="38">
        <f t="shared" si="5"/>
        <v>20</v>
      </c>
      <c r="P12" s="38">
        <f t="shared" si="6"/>
        <v>170</v>
      </c>
      <c r="Q12" s="38">
        <f t="shared" si="2"/>
        <v>300</v>
      </c>
    </row>
    <row r="13" spans="2:17">
      <c r="B13" s="37" t="s">
        <v>14</v>
      </c>
      <c r="C13" s="37" t="s">
        <v>15</v>
      </c>
      <c r="D13" s="38">
        <v>2705</v>
      </c>
      <c r="E13" s="39">
        <v>0.0311702378963258</v>
      </c>
      <c r="F13" s="39">
        <v>0.9103841256489</v>
      </c>
      <c r="G13" s="37" t="s">
        <v>49</v>
      </c>
      <c r="H13" s="38">
        <v>16</v>
      </c>
      <c r="I13" s="38">
        <f t="shared" si="3"/>
        <v>368</v>
      </c>
      <c r="J13" s="38">
        <f>ROUNDUP(AVERAGEIF(tSaida[Produto],B13,tSaida[Saída / Demanda]),-1)</f>
        <v>30</v>
      </c>
      <c r="K13" s="38" cm="1">
        <f t="array" ref="K13">IFERROR(_xlfn.STDEV.S(IF(tSaida[Produto]=Consolidação!B13,tSaida[Saída / Demanda])),0)</f>
        <v>28.824524888595</v>
      </c>
      <c r="L13" s="39">
        <f t="shared" si="4"/>
        <v>0.960817496286501</v>
      </c>
      <c r="M13" s="38">
        <f t="shared" si="0"/>
        <v>5</v>
      </c>
      <c r="N13" s="39">
        <f t="shared" si="1"/>
        <v>0.6</v>
      </c>
      <c r="O13" s="38">
        <f t="shared" si="5"/>
        <v>20</v>
      </c>
      <c r="P13" s="38">
        <f t="shared" si="6"/>
        <v>170</v>
      </c>
      <c r="Q13" s="38">
        <f t="shared" si="2"/>
        <v>300</v>
      </c>
    </row>
    <row r="14" spans="2:17">
      <c r="B14" s="37" t="s">
        <v>20</v>
      </c>
      <c r="C14" s="37" t="s">
        <v>21</v>
      </c>
      <c r="D14" s="38">
        <v>2407</v>
      </c>
      <c r="E14" s="39">
        <v>0.0277363262907417</v>
      </c>
      <c r="F14" s="39">
        <v>0.938120451939642</v>
      </c>
      <c r="G14" s="37" t="s">
        <v>49</v>
      </c>
      <c r="H14" s="38">
        <v>14</v>
      </c>
      <c r="I14" s="38">
        <f t="shared" si="3"/>
        <v>322</v>
      </c>
      <c r="J14" s="38">
        <f>ROUNDUP(AVERAGEIF(tSaida[Produto],B14,tSaida[Saída / Demanda]),-1)</f>
        <v>30</v>
      </c>
      <c r="K14" s="38" cm="1">
        <f t="array" ref="K14">IFERROR(_xlfn.STDEV.S(IF(tSaida[Produto]=Consolidação!B14,tSaida[Saída / Demanda])),0)</f>
        <v>24.8525392865306</v>
      </c>
      <c r="L14" s="39">
        <f t="shared" si="4"/>
        <v>0.828417976217686</v>
      </c>
      <c r="M14" s="38">
        <f t="shared" si="0"/>
        <v>5</v>
      </c>
      <c r="N14" s="39">
        <f t="shared" si="1"/>
        <v>0.6</v>
      </c>
      <c r="O14" s="38">
        <f t="shared" si="5"/>
        <v>20</v>
      </c>
      <c r="P14" s="38">
        <f t="shared" si="6"/>
        <v>170</v>
      </c>
      <c r="Q14" s="38">
        <f t="shared" si="2"/>
        <v>300</v>
      </c>
    </row>
    <row r="15" spans="2:17">
      <c r="B15" s="37" t="s">
        <v>18</v>
      </c>
      <c r="C15" s="37" t="s">
        <v>19</v>
      </c>
      <c r="D15" s="38">
        <v>2303</v>
      </c>
      <c r="E15" s="39">
        <v>0.0265379141867794</v>
      </c>
      <c r="F15" s="39">
        <v>0.964658366126421</v>
      </c>
      <c r="G15" s="37" t="s">
        <v>50</v>
      </c>
      <c r="H15" s="38">
        <v>13</v>
      </c>
      <c r="I15" s="38">
        <f t="shared" si="3"/>
        <v>299</v>
      </c>
      <c r="J15" s="38">
        <f>ROUNDUP(AVERAGEIF(tSaida[Produto],B15,tSaida[Saída / Demanda]),-1)</f>
        <v>30</v>
      </c>
      <c r="K15" s="38" cm="1">
        <f t="array" ref="K15">IFERROR(_xlfn.STDEV.S(IF(tSaida[Produto]=Consolidação!B15,tSaida[Saída / Demanda])),0)</f>
        <v>17.2515993513697</v>
      </c>
      <c r="L15" s="39">
        <f t="shared" si="4"/>
        <v>0.575053311712324</v>
      </c>
      <c r="M15" s="38">
        <f t="shared" si="0"/>
        <v>5</v>
      </c>
      <c r="N15" s="39">
        <f t="shared" si="1"/>
        <v>0.6</v>
      </c>
      <c r="O15" s="38">
        <f t="shared" si="5"/>
        <v>20</v>
      </c>
      <c r="P15" s="38">
        <f t="shared" si="6"/>
        <v>170</v>
      </c>
      <c r="Q15" s="38">
        <f t="shared" si="2"/>
        <v>300</v>
      </c>
    </row>
    <row r="16" spans="2:17">
      <c r="B16" s="37" t="s">
        <v>22</v>
      </c>
      <c r="C16" s="37" t="s">
        <v>23</v>
      </c>
      <c r="D16" s="38">
        <v>1605</v>
      </c>
      <c r="E16" s="39">
        <v>0.0184947252582636</v>
      </c>
      <c r="F16" s="39">
        <v>0.983153091384685</v>
      </c>
      <c r="G16" s="37" t="s">
        <v>50</v>
      </c>
      <c r="H16" s="38">
        <v>9</v>
      </c>
      <c r="I16" s="38">
        <f t="shared" si="3"/>
        <v>207</v>
      </c>
      <c r="J16" s="38">
        <f>ROUNDUP(AVERAGEIF(tSaida[Produto],B16,tSaida[Saída / Demanda]),-1)</f>
        <v>20</v>
      </c>
      <c r="K16" s="38" cm="1">
        <f t="array" ref="K16">IFERROR(_xlfn.STDEV.S(IF(tSaida[Produto]=Consolidação!B16,tSaida[Saída / Demanda])),0)</f>
        <v>16.8923391984505</v>
      </c>
      <c r="L16" s="39">
        <f t="shared" si="4"/>
        <v>0.844616959922523</v>
      </c>
      <c r="M16" s="38">
        <f t="shared" si="0"/>
        <v>5</v>
      </c>
      <c r="N16" s="39">
        <f t="shared" si="1"/>
        <v>0.6</v>
      </c>
      <c r="O16" s="38">
        <f t="shared" si="5"/>
        <v>20</v>
      </c>
      <c r="P16" s="38">
        <f t="shared" si="6"/>
        <v>120</v>
      </c>
      <c r="Q16" s="38">
        <f t="shared" si="2"/>
        <v>200</v>
      </c>
    </row>
    <row r="17" spans="2:17">
      <c r="B17" s="37" t="s">
        <v>33</v>
      </c>
      <c r="C17" s="37" t="s">
        <v>34</v>
      </c>
      <c r="D17" s="38">
        <v>995</v>
      </c>
      <c r="E17" s="39">
        <v>0.0114655773407927</v>
      </c>
      <c r="F17" s="39">
        <v>0.994618668725477</v>
      </c>
      <c r="G17" s="37" t="s">
        <v>50</v>
      </c>
      <c r="H17" s="38">
        <v>6</v>
      </c>
      <c r="I17" s="38">
        <f t="shared" si="3"/>
        <v>138</v>
      </c>
      <c r="J17" s="38">
        <f>ROUNDUP(AVERAGEIF(tSaida[Produto],B17,tSaida[Saída / Demanda]),-1)</f>
        <v>20</v>
      </c>
      <c r="K17" s="38" cm="1">
        <f t="array" ref="K17">IFERROR(_xlfn.STDEV.S(IF(tSaida[Produto]=Consolidação!B17,tSaida[Saída / Demanda])),0)</f>
        <v>17.8248279036831</v>
      </c>
      <c r="L17" s="39">
        <f t="shared" si="4"/>
        <v>0.891241395184153</v>
      </c>
      <c r="M17" s="38">
        <f t="shared" si="0"/>
        <v>5</v>
      </c>
      <c r="N17" s="39">
        <f t="shared" si="1"/>
        <v>0.6</v>
      </c>
      <c r="O17" s="38">
        <f t="shared" si="5"/>
        <v>20</v>
      </c>
      <c r="P17" s="38">
        <f t="shared" si="6"/>
        <v>120</v>
      </c>
      <c r="Q17" s="38">
        <f t="shared" si="2"/>
        <v>200</v>
      </c>
    </row>
    <row r="18" spans="2:17">
      <c r="B18" s="37" t="s">
        <v>46</v>
      </c>
      <c r="C18" s="37" t="s">
        <v>47</v>
      </c>
      <c r="D18" s="38">
        <v>219</v>
      </c>
      <c r="E18" s="39">
        <v>0.00252357933430512</v>
      </c>
      <c r="F18" s="39">
        <v>0.997142248059782</v>
      </c>
      <c r="G18" s="37" t="s">
        <v>50</v>
      </c>
      <c r="H18" s="38">
        <v>2</v>
      </c>
      <c r="I18" s="38">
        <f t="shared" si="3"/>
        <v>46</v>
      </c>
      <c r="J18" s="38">
        <f>ROUNDUP(AVERAGEIF(tSaida[Produto],B18,tSaida[Saída / Demanda]),-1)</f>
        <v>30</v>
      </c>
      <c r="K18" s="38" cm="1">
        <f t="array" ref="K18">IFERROR(_xlfn.STDEV.S(IF(tSaida[Produto]=Consolidação!B18,tSaida[Saída / Demanda])),0)</f>
        <v>27.5680975041804</v>
      </c>
      <c r="L18" s="39">
        <f t="shared" si="4"/>
        <v>0.918936583472681</v>
      </c>
      <c r="M18" s="38">
        <f t="shared" si="0"/>
        <v>5</v>
      </c>
      <c r="N18" s="39">
        <f t="shared" si="1"/>
        <v>0.6</v>
      </c>
      <c r="O18" s="38">
        <f t="shared" si="5"/>
        <v>20</v>
      </c>
      <c r="P18" s="38">
        <f t="shared" si="6"/>
        <v>170</v>
      </c>
      <c r="Q18" s="38">
        <f t="shared" si="2"/>
        <v>300</v>
      </c>
    </row>
    <row r="19" spans="2:17">
      <c r="B19" s="37" t="s">
        <v>40</v>
      </c>
      <c r="C19" s="37" t="s">
        <v>41</v>
      </c>
      <c r="D19" s="38">
        <v>164</v>
      </c>
      <c r="E19" s="39">
        <v>0.00188980370240201</v>
      </c>
      <c r="F19" s="39">
        <v>0.999032051762184</v>
      </c>
      <c r="G19" s="37" t="s">
        <v>50</v>
      </c>
      <c r="H19" s="38">
        <v>1</v>
      </c>
      <c r="I19" s="38">
        <f t="shared" si="3"/>
        <v>23</v>
      </c>
      <c r="J19" s="38">
        <f>ROUNDUP(AVERAGEIF(tSaida[Produto],B19,tSaida[Saída / Demanda]),-1)</f>
        <v>20</v>
      </c>
      <c r="K19" s="38" cm="1">
        <f t="array" ref="K19">IFERROR(_xlfn.STDEV.S(IF(tSaida[Produto]=Consolidação!B19,tSaida[Saída / Demanda])),0)</f>
        <v>7.96386067953709</v>
      </c>
      <c r="L19" s="39">
        <f t="shared" si="4"/>
        <v>0.398193033976854</v>
      </c>
      <c r="M19" s="38">
        <f t="shared" si="0"/>
        <v>5</v>
      </c>
      <c r="N19" s="39">
        <f t="shared" si="1"/>
        <v>0.6</v>
      </c>
      <c r="O19" s="38">
        <f t="shared" si="5"/>
        <v>10</v>
      </c>
      <c r="P19" s="38">
        <f t="shared" si="6"/>
        <v>110</v>
      </c>
      <c r="Q19" s="38">
        <f t="shared" si="2"/>
        <v>200</v>
      </c>
    </row>
    <row r="20" spans="2:17">
      <c r="B20" s="37" t="s">
        <v>26</v>
      </c>
      <c r="C20" s="37" t="s">
        <v>27</v>
      </c>
      <c r="D20" s="38">
        <v>38</v>
      </c>
      <c r="E20" s="39">
        <v>0.000437881345678514</v>
      </c>
      <c r="F20" s="39">
        <v>0.999469933107863</v>
      </c>
      <c r="G20" s="37" t="s">
        <v>50</v>
      </c>
      <c r="H20" s="38">
        <v>1</v>
      </c>
      <c r="I20" s="38">
        <f t="shared" si="3"/>
        <v>23</v>
      </c>
      <c r="J20" s="38">
        <f>ROUNDUP(AVERAGEIF(tSaida[Produto],B20,tSaida[Saída / Demanda]),-1)</f>
        <v>20</v>
      </c>
      <c r="K20" s="38" cm="1">
        <f t="array" ref="K20">IFERROR(_xlfn.STDEV.S(IF(tSaida[Produto]=Consolidação!B20,tSaida[Saída / Demanda])),0)</f>
        <v>8.48528137423857</v>
      </c>
      <c r="L20" s="39">
        <f t="shared" si="4"/>
        <v>0.424264068711928</v>
      </c>
      <c r="M20" s="38">
        <f t="shared" si="0"/>
        <v>5</v>
      </c>
      <c r="N20" s="39">
        <f t="shared" si="1"/>
        <v>0.6</v>
      </c>
      <c r="O20" s="38">
        <f t="shared" si="5"/>
        <v>10</v>
      </c>
      <c r="P20" s="38">
        <f t="shared" si="6"/>
        <v>110</v>
      </c>
      <c r="Q20" s="38">
        <f t="shared" si="2"/>
        <v>200</v>
      </c>
    </row>
    <row r="21" spans="2:17">
      <c r="B21" s="37" t="s">
        <v>29</v>
      </c>
      <c r="C21" s="37" t="s">
        <v>19</v>
      </c>
      <c r="D21" s="38">
        <v>20</v>
      </c>
      <c r="E21" s="39">
        <v>0.000230463866146587</v>
      </c>
      <c r="F21" s="39">
        <v>0.999700396974009</v>
      </c>
      <c r="G21" s="37" t="s">
        <v>50</v>
      </c>
      <c r="H21" s="38">
        <v>1</v>
      </c>
      <c r="I21" s="38">
        <f t="shared" si="3"/>
        <v>23</v>
      </c>
      <c r="J21" s="38">
        <f>ROUNDUP(AVERAGEIF(tSaida[Produto],B21,tSaida[Saída / Demanda]),-1)</f>
        <v>10</v>
      </c>
      <c r="K21" s="38" cm="1">
        <f t="array" ref="K21">IFERROR(_xlfn.STDEV.S(IF(tSaida[Produto]=Consolidação!B21,tSaida[Saída / Demanda])),0)</f>
        <v>3.05505046330389</v>
      </c>
      <c r="L21" s="39">
        <f t="shared" si="4"/>
        <v>0.305505046330389</v>
      </c>
      <c r="M21" s="38">
        <f t="shared" si="0"/>
        <v>5</v>
      </c>
      <c r="N21" s="39">
        <f t="shared" si="1"/>
        <v>0.6</v>
      </c>
      <c r="O21" s="38">
        <f t="shared" si="5"/>
        <v>10</v>
      </c>
      <c r="P21" s="38">
        <f t="shared" si="6"/>
        <v>60</v>
      </c>
      <c r="Q21" s="38">
        <f t="shared" si="2"/>
        <v>100</v>
      </c>
    </row>
    <row r="22" spans="2:17">
      <c r="B22" s="37" t="s">
        <v>30</v>
      </c>
      <c r="C22" s="37" t="s">
        <v>25</v>
      </c>
      <c r="D22" s="38">
        <v>8</v>
      </c>
      <c r="E22" s="39">
        <v>9.21855464586346e-5</v>
      </c>
      <c r="F22" s="39">
        <v>0.999792582520468</v>
      </c>
      <c r="G22" s="37" t="s">
        <v>50</v>
      </c>
      <c r="H22" s="38">
        <v>1</v>
      </c>
      <c r="I22" s="38">
        <f t="shared" si="3"/>
        <v>23</v>
      </c>
      <c r="J22" s="38">
        <f>ROUNDUP(AVERAGEIF(tSaida[Produto],B22,tSaida[Saída / Demanda]),-1)</f>
        <v>10</v>
      </c>
      <c r="K22" s="38" cm="1">
        <f t="array" ref="K22">IFERROR(_xlfn.STDEV.S(IF(tSaida[Produto]=Consolidação!B22,tSaida[Saída / Demanda])),0)</f>
        <v>1.52752523165195</v>
      </c>
      <c r="L22" s="39">
        <f t="shared" si="4"/>
        <v>0.152752523165195</v>
      </c>
      <c r="M22" s="38">
        <f t="shared" si="0"/>
        <v>5</v>
      </c>
      <c r="N22" s="39">
        <f t="shared" si="1"/>
        <v>0.6</v>
      </c>
      <c r="O22" s="38">
        <f t="shared" si="5"/>
        <v>10</v>
      </c>
      <c r="P22" s="38">
        <f t="shared" si="6"/>
        <v>60</v>
      </c>
      <c r="Q22" s="38">
        <f t="shared" si="2"/>
        <v>100</v>
      </c>
    </row>
    <row r="23" spans="2:17">
      <c r="B23" s="37" t="s">
        <v>44</v>
      </c>
      <c r="C23" s="37" t="s">
        <v>45</v>
      </c>
      <c r="D23" s="38">
        <v>8</v>
      </c>
      <c r="E23" s="39">
        <v>9.21855464586346e-5</v>
      </c>
      <c r="F23" s="39">
        <v>0.999884768066927</v>
      </c>
      <c r="G23" s="37" t="s">
        <v>50</v>
      </c>
      <c r="H23" s="38">
        <v>1</v>
      </c>
      <c r="I23" s="38">
        <f t="shared" si="3"/>
        <v>23</v>
      </c>
      <c r="J23" s="38">
        <f>ROUNDUP(AVERAGEIF(tSaida[Produto],B23,tSaida[Saída / Demanda]),-1)</f>
        <v>10</v>
      </c>
      <c r="K23" s="38" cm="1">
        <f t="array" ref="K23">IFERROR(_xlfn.STDEV.S(IF(tSaida[Produto]=Consolidação!B23,tSaida[Saída / Demanda])),0)</f>
        <v>0</v>
      </c>
      <c r="L23" s="39">
        <f t="shared" si="4"/>
        <v>0</v>
      </c>
      <c r="M23" s="38">
        <f t="shared" si="0"/>
        <v>5</v>
      </c>
      <c r="N23" s="39">
        <f t="shared" si="1"/>
        <v>0.6</v>
      </c>
      <c r="O23" s="38">
        <f t="shared" si="5"/>
        <v>10</v>
      </c>
      <c r="P23" s="38">
        <f t="shared" si="6"/>
        <v>60</v>
      </c>
      <c r="Q23" s="38">
        <f t="shared" si="2"/>
        <v>100</v>
      </c>
    </row>
    <row r="24" spans="2:17">
      <c r="B24" s="37" t="s">
        <v>28</v>
      </c>
      <c r="C24" s="37" t="s">
        <v>15</v>
      </c>
      <c r="D24" s="38">
        <v>6</v>
      </c>
      <c r="E24" s="39">
        <v>6.9139159843976e-5</v>
      </c>
      <c r="F24" s="39">
        <v>0.999953907226771</v>
      </c>
      <c r="G24" s="37" t="s">
        <v>50</v>
      </c>
      <c r="H24" s="38">
        <v>1</v>
      </c>
      <c r="I24" s="38">
        <f t="shared" si="3"/>
        <v>23</v>
      </c>
      <c r="J24" s="38">
        <f>ROUNDUP(AVERAGEIF(tSaida[Produto],B24,tSaida[Saída / Demanda]),-1)</f>
        <v>10</v>
      </c>
      <c r="K24" s="38" cm="1">
        <f t="array" ref="K24">IFERROR(_xlfn.STDEV.S(IF(tSaida[Produto]=Consolidação!B24,tSaida[Saída / Demanda])),0)</f>
        <v>0</v>
      </c>
      <c r="L24" s="39">
        <f t="shared" si="4"/>
        <v>0</v>
      </c>
      <c r="M24" s="38">
        <f t="shared" si="0"/>
        <v>5</v>
      </c>
      <c r="N24" s="39">
        <f t="shared" si="1"/>
        <v>0.6</v>
      </c>
      <c r="O24" s="38">
        <f t="shared" si="5"/>
        <v>10</v>
      </c>
      <c r="P24" s="38">
        <f t="shared" si="6"/>
        <v>60</v>
      </c>
      <c r="Q24" s="38">
        <f t="shared" si="2"/>
        <v>100</v>
      </c>
    </row>
    <row r="25" spans="2:17">
      <c r="B25" s="37" t="s">
        <v>39</v>
      </c>
      <c r="C25" s="37" t="s">
        <v>36</v>
      </c>
      <c r="D25" s="38">
        <v>4</v>
      </c>
      <c r="E25" s="39">
        <v>4.60927732293173e-5</v>
      </c>
      <c r="F25" s="39">
        <v>1</v>
      </c>
      <c r="G25" s="37" t="s">
        <v>50</v>
      </c>
      <c r="H25" s="38">
        <v>1</v>
      </c>
      <c r="I25" s="38">
        <f t="shared" si="3"/>
        <v>23</v>
      </c>
      <c r="J25" s="38">
        <f>ROUNDUP(AVERAGEIF(tSaida[Produto],B25,tSaida[Saída / Demanda]),-1)</f>
        <v>10</v>
      </c>
      <c r="K25" s="38" cm="1">
        <f t="array" ref="K25">IFERROR(_xlfn.STDEV.S(IF(tSaida[Produto]=Consolidação!B25,tSaida[Saída / Demanda])),0)</f>
        <v>0</v>
      </c>
      <c r="L25" s="39">
        <f t="shared" si="4"/>
        <v>0</v>
      </c>
      <c r="M25" s="38">
        <f t="shared" si="0"/>
        <v>5</v>
      </c>
      <c r="N25" s="39">
        <f t="shared" si="1"/>
        <v>0.6</v>
      </c>
      <c r="O25" s="38">
        <f t="shared" si="5"/>
        <v>10</v>
      </c>
      <c r="P25" s="38">
        <f t="shared" si="6"/>
        <v>60</v>
      </c>
      <c r="Q25" s="38">
        <f t="shared" si="2"/>
        <v>100</v>
      </c>
    </row>
  </sheetData>
  <dataValidations count="1">
    <dataValidation type="list" allowBlank="1" showInputMessage="1" showErrorMessage="1" sqref="N3">
      <formula1>Configurações!$B$6:$B$18</formula1>
    </dataValidation>
  </dataValidations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4"/>
  <dimension ref="A1:V195"/>
  <sheetViews>
    <sheetView showGridLines="0" zoomScale="130" zoomScaleNormal="130" topLeftCell="A4" workbookViewId="0">
      <selection activeCell="C10" sqref="C10"/>
    </sheetView>
  </sheetViews>
  <sheetFormatPr defaultColWidth="9" defaultRowHeight="15"/>
  <cols>
    <col min="1" max="1" width="6.28571428571429" customWidth="1"/>
    <col min="2" max="2" width="20.4285714285714" customWidth="1"/>
    <col min="3" max="3" width="13.1428571428571" style="9" customWidth="1"/>
    <col min="5" max="5" width="14" customWidth="1"/>
    <col min="6" max="6" width="11" style="10" customWidth="1"/>
    <col min="7" max="7" width="11" style="11" customWidth="1"/>
    <col min="8" max="8" width="12.8571428571429" customWidth="1"/>
    <col min="9" max="9" width="12.8571428571429" style="12" customWidth="1"/>
    <col min="10" max="10" width="12.8571428571429" style="11" customWidth="1"/>
  </cols>
  <sheetData>
    <row r="1" ht="31.5" spans="1:22">
      <c r="A1" s="1"/>
      <c r="B1" s="1"/>
      <c r="C1" s="1"/>
      <c r="D1" s="1"/>
      <c r="E1" s="1"/>
      <c r="F1" s="13"/>
      <c r="G1" s="14"/>
      <c r="H1" s="1"/>
      <c r="I1" s="29"/>
      <c r="J1" s="1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1.5" spans="1:22">
      <c r="A2" s="1"/>
      <c r="B2" s="1"/>
      <c r="C2" s="1"/>
      <c r="D2" s="1"/>
      <c r="E2" s="1"/>
      <c r="F2" s="13"/>
      <c r="G2" s="14"/>
      <c r="H2" s="1"/>
      <c r="I2" s="29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5" spans="5:7">
      <c r="E5" t="s">
        <v>0</v>
      </c>
      <c r="F5" t="s">
        <v>8</v>
      </c>
      <c r="G5" s="15" t="str">
        <f>INDEX(tSaida[Descrição],MATCH('Cálculo de Estoque'!F5,tSaida[Produto],0))</f>
        <v>TELHA GALVALUME TP 40 0,43MM 6,00M</v>
      </c>
    </row>
    <row r="6" spans="3:10">
      <c r="C6" s="16"/>
      <c r="I6" s="30" t="s">
        <v>66</v>
      </c>
      <c r="J6" s="31"/>
    </row>
    <row r="7" spans="2:10">
      <c r="B7" s="17" t="s">
        <v>58</v>
      </c>
      <c r="C7" s="18">
        <f ca="1">ROUNDUP(AVERAGE(_Valores),-1)</f>
        <v>120</v>
      </c>
      <c r="E7" s="19" t="s">
        <v>67</v>
      </c>
      <c r="F7" s="20" t="s">
        <v>68</v>
      </c>
      <c r="G7" s="21" t="s">
        <v>69</v>
      </c>
      <c r="H7" s="22" t="s">
        <v>70</v>
      </c>
      <c r="I7" s="32" t="s">
        <v>71</v>
      </c>
      <c r="J7" s="21" t="s">
        <v>72</v>
      </c>
    </row>
    <row r="8" spans="2:10">
      <c r="B8" s="17" t="s">
        <v>59</v>
      </c>
      <c r="C8" s="23">
        <f ca="1">_xlfn.STDEV.S(_Valores)</f>
        <v>91.264299005771</v>
      </c>
      <c r="E8" s="24">
        <v>45659</v>
      </c>
      <c r="F8" s="10">
        <v>35</v>
      </c>
      <c r="G8" s="25">
        <f>IFERROR(VLOOKUP(E8,$I$1:J7,2,0),0)</f>
        <v>0</v>
      </c>
      <c r="H8" s="26">
        <f>C14</f>
        <v>0</v>
      </c>
      <c r="I8" s="33">
        <f ca="1" t="shared" ref="I8:I13" si="0">IF(H8&lt;=$C$12,IF(COUNT(OFFSET(I7,,,-4))&gt;0,"",E8+$C$9),"")</f>
        <v>45664</v>
      </c>
      <c r="J8" s="25">
        <f ca="1" t="shared" ref="J8:J13" si="1">IF(ISNUMBER(I8),$C$13-(H8-SUM(F8:F12)),"")</f>
        <v>1216</v>
      </c>
    </row>
    <row r="9" spans="2:10">
      <c r="B9" s="17" t="s">
        <v>61</v>
      </c>
      <c r="C9" s="23">
        <v>5</v>
      </c>
      <c r="E9" s="24">
        <v>45660</v>
      </c>
      <c r="F9" s="10">
        <v>24</v>
      </c>
      <c r="G9" s="25">
        <f ca="1">IFERROR(VLOOKUP(E9,$I$1:J8,2,0),0)</f>
        <v>0</v>
      </c>
      <c r="H9" s="26">
        <f ca="1">H8+G9-F9</f>
        <v>-24</v>
      </c>
      <c r="I9" s="33" t="str">
        <f ca="1" t="shared" si="0"/>
        <v/>
      </c>
      <c r="J9" s="25" t="str">
        <f ca="1" t="shared" si="1"/>
        <v/>
      </c>
    </row>
    <row r="10" spans="2:10">
      <c r="B10" s="17" t="s">
        <v>62</v>
      </c>
      <c r="C10" s="27">
        <v>0.6</v>
      </c>
      <c r="E10" s="24">
        <v>45663</v>
      </c>
      <c r="F10" s="10">
        <v>96</v>
      </c>
      <c r="G10" s="25">
        <f ca="1">IFERROR(VLOOKUP(E10,$I$1:J9,2,0),0)</f>
        <v>0</v>
      </c>
      <c r="H10" s="26">
        <f ca="1" t="shared" ref="H10:H73" si="2">H9+G10-F10</f>
        <v>-120</v>
      </c>
      <c r="I10" s="33" t="str">
        <f ca="1" t="shared" si="0"/>
        <v/>
      </c>
      <c r="J10" s="25" t="str">
        <f ca="1" t="shared" si="1"/>
        <v/>
      </c>
    </row>
    <row r="11" spans="2:10">
      <c r="B11" s="17" t="s">
        <v>63</v>
      </c>
      <c r="C11" s="23">
        <f ca="1">ROUNDUP(NORMSINV(C10)*SQRT((C8^2)*C9+(C7^2)*(1^2)),-1)</f>
        <v>60</v>
      </c>
      <c r="E11" s="24">
        <v>45664</v>
      </c>
      <c r="F11" s="10">
        <v>126</v>
      </c>
      <c r="G11" s="25">
        <f ca="1">IFERROR(VLOOKUP(E11,$I$1:J10,2,0),0)</f>
        <v>1216</v>
      </c>
      <c r="H11" s="26">
        <f ca="1" t="shared" si="2"/>
        <v>970</v>
      </c>
      <c r="I11" s="33" t="str">
        <f ca="1" t="shared" si="0"/>
        <v/>
      </c>
      <c r="J11" s="25" t="str">
        <f ca="1" t="shared" si="1"/>
        <v/>
      </c>
    </row>
    <row r="12" spans="2:10">
      <c r="B12" s="17" t="s">
        <v>73</v>
      </c>
      <c r="C12" s="23">
        <f ca="1">C7*C9+C11</f>
        <v>660</v>
      </c>
      <c r="E12" s="24">
        <v>45665</v>
      </c>
      <c r="F12" s="10">
        <v>35</v>
      </c>
      <c r="G12" s="25">
        <f ca="1">IFERROR(VLOOKUP(E12,$I$1:J11,2,0),0)</f>
        <v>0</v>
      </c>
      <c r="H12" s="26">
        <f ca="1" t="shared" si="2"/>
        <v>935</v>
      </c>
      <c r="I12" s="33" t="str">
        <f ca="1" t="shared" si="0"/>
        <v/>
      </c>
      <c r="J12" s="25" t="str">
        <f ca="1" t="shared" si="1"/>
        <v/>
      </c>
    </row>
    <row r="13" spans="2:10">
      <c r="B13" s="17" t="s">
        <v>65</v>
      </c>
      <c r="C13" s="23">
        <f ca="1">(C7+C11)*C9</f>
        <v>900</v>
      </c>
      <c r="E13" s="24">
        <v>45666</v>
      </c>
      <c r="F13" s="10">
        <v>226</v>
      </c>
      <c r="G13" s="25">
        <f ca="1">IFERROR(VLOOKUP(E13,$I$1:J12,2,0),0)</f>
        <v>0</v>
      </c>
      <c r="H13" s="26">
        <f ca="1" t="shared" si="2"/>
        <v>709</v>
      </c>
      <c r="I13" s="33" t="str">
        <f ca="1" t="shared" si="0"/>
        <v/>
      </c>
      <c r="J13" s="25" t="str">
        <f ca="1" t="shared" si="1"/>
        <v/>
      </c>
    </row>
    <row r="14" spans="2:10">
      <c r="B14" s="28" t="s">
        <v>74</v>
      </c>
      <c r="C14" s="23">
        <v>0</v>
      </c>
      <c r="E14" s="24">
        <v>45667</v>
      </c>
      <c r="F14" s="10">
        <v>106</v>
      </c>
      <c r="G14" s="25">
        <f ca="1">IFERROR(VLOOKUP(E14,$I$1:J13,2,0),0)</f>
        <v>0</v>
      </c>
      <c r="H14" s="26">
        <f ca="1" t="shared" si="2"/>
        <v>603</v>
      </c>
      <c r="I14" s="33">
        <f ca="1" t="shared" ref="I14" si="3">IF(H14&lt;=$C$12,IF(COUNT(OFFSET(I13,,,-4))&gt;0,"",E14+$C$9),"")</f>
        <v>45672</v>
      </c>
      <c r="J14" s="25">
        <f ca="1" t="shared" ref="J14" si="4">IF(ISNUMBER(I14),$C$13-(H14-SUM(F14:F18)),"")</f>
        <v>800</v>
      </c>
    </row>
    <row r="15" spans="5:10">
      <c r="E15" s="24">
        <v>45670</v>
      </c>
      <c r="F15" s="10">
        <v>268</v>
      </c>
      <c r="G15" s="25">
        <f ca="1">IFERROR(VLOOKUP(E15,$I$1:J14,2,0),0)</f>
        <v>0</v>
      </c>
      <c r="H15" s="26">
        <f ca="1" t="shared" si="2"/>
        <v>335</v>
      </c>
      <c r="I15" s="33" t="str">
        <f ca="1" t="shared" ref="I15:I22" si="5">IF(H15&lt;=$C$12,IF(COUNT(OFFSET(I14,,,-4))&gt;0,"",E15+$C$9),"")</f>
        <v/>
      </c>
      <c r="J15" s="25" t="str">
        <f ca="1" t="shared" ref="J15:J22" si="6">IF(ISNUMBER(I15),$C$13-(H15-SUM(F15:F19)),"")</f>
        <v/>
      </c>
    </row>
    <row r="16" spans="5:10">
      <c r="E16" s="24">
        <v>45671</v>
      </c>
      <c r="F16" s="10">
        <v>31</v>
      </c>
      <c r="G16" s="25">
        <f ca="1">IFERROR(VLOOKUP(E16,$I$1:J15,2,0),0)</f>
        <v>0</v>
      </c>
      <c r="H16" s="26">
        <f ca="1" t="shared" si="2"/>
        <v>304</v>
      </c>
      <c r="I16" s="33" t="str">
        <f ca="1" t="shared" si="5"/>
        <v/>
      </c>
      <c r="J16" s="25" t="str">
        <f ca="1" t="shared" si="6"/>
        <v/>
      </c>
    </row>
    <row r="17" spans="5:10">
      <c r="E17" s="24">
        <v>45672</v>
      </c>
      <c r="F17" s="10">
        <v>80</v>
      </c>
      <c r="G17" s="25">
        <f ca="1">IFERROR(VLOOKUP(E17,$I$1:J16,2,0),0)</f>
        <v>800</v>
      </c>
      <c r="H17" s="26">
        <f ca="1" t="shared" si="2"/>
        <v>1024</v>
      </c>
      <c r="I17" s="33" t="str">
        <f ca="1" t="shared" si="5"/>
        <v/>
      </c>
      <c r="J17" s="25" t="str">
        <f ca="1" t="shared" si="6"/>
        <v/>
      </c>
    </row>
    <row r="18" spans="5:10">
      <c r="E18" s="24">
        <v>45673</v>
      </c>
      <c r="F18" s="10">
        <v>18</v>
      </c>
      <c r="G18" s="25">
        <f ca="1">IFERROR(VLOOKUP(E18,$I$1:J17,2,0),0)</f>
        <v>0</v>
      </c>
      <c r="H18" s="26">
        <f ca="1" t="shared" si="2"/>
        <v>1006</v>
      </c>
      <c r="I18" s="33" t="str">
        <f ca="1" t="shared" si="5"/>
        <v/>
      </c>
      <c r="J18" s="25" t="str">
        <f ca="1" t="shared" si="6"/>
        <v/>
      </c>
    </row>
    <row r="19" spans="5:10">
      <c r="E19" s="24">
        <v>45674</v>
      </c>
      <c r="F19" s="10">
        <v>106</v>
      </c>
      <c r="G19" s="25">
        <f ca="1">IFERROR(VLOOKUP(E19,$I$1:J18,2,0),0)</f>
        <v>0</v>
      </c>
      <c r="H19" s="26">
        <f ca="1" t="shared" si="2"/>
        <v>900</v>
      </c>
      <c r="I19" s="33" t="str">
        <f ca="1" t="shared" si="5"/>
        <v/>
      </c>
      <c r="J19" s="25" t="str">
        <f ca="1" t="shared" si="6"/>
        <v/>
      </c>
    </row>
    <row r="20" spans="5:10">
      <c r="E20" s="24">
        <v>45677</v>
      </c>
      <c r="F20" s="10">
        <v>241</v>
      </c>
      <c r="G20" s="25">
        <f ca="1">IFERROR(VLOOKUP(E20,$I$1:J19,2,0),0)</f>
        <v>0</v>
      </c>
      <c r="H20" s="26">
        <f ca="1" t="shared" si="2"/>
        <v>659</v>
      </c>
      <c r="I20" s="33">
        <f ca="1" t="shared" si="5"/>
        <v>45682</v>
      </c>
      <c r="J20" s="25">
        <f ca="1" t="shared" si="6"/>
        <v>1635</v>
      </c>
    </row>
    <row r="21" spans="5:10">
      <c r="E21" s="24">
        <v>45678</v>
      </c>
      <c r="F21" s="10">
        <v>113</v>
      </c>
      <c r="G21" s="25">
        <f ca="1">IFERROR(VLOOKUP(E21,$I$1:J20,2,0),0)</f>
        <v>0</v>
      </c>
      <c r="H21" s="26">
        <f ca="1" t="shared" si="2"/>
        <v>546</v>
      </c>
      <c r="I21" s="33" t="str">
        <f ca="1" t="shared" si="5"/>
        <v/>
      </c>
      <c r="J21" s="25" t="str">
        <f ca="1" t="shared" si="6"/>
        <v/>
      </c>
    </row>
    <row r="22" spans="5:10">
      <c r="E22" s="24">
        <v>45679</v>
      </c>
      <c r="F22" s="10">
        <v>550</v>
      </c>
      <c r="G22" s="25">
        <f ca="1">IFERROR(VLOOKUP(E22,$I$1:J21,2,0),0)</f>
        <v>0</v>
      </c>
      <c r="H22" s="26">
        <f ca="1" t="shared" si="2"/>
        <v>-4</v>
      </c>
      <c r="I22" s="33" t="str">
        <f ca="1" t="shared" si="5"/>
        <v/>
      </c>
      <c r="J22" s="25" t="str">
        <f ca="1" t="shared" si="6"/>
        <v/>
      </c>
    </row>
    <row r="23" spans="5:10">
      <c r="E23" s="24">
        <v>45680</v>
      </c>
      <c r="F23" s="10">
        <v>216</v>
      </c>
      <c r="G23" s="25">
        <f ca="1">IFERROR(VLOOKUP(E23,$I$1:J22,2,0),0)</f>
        <v>0</v>
      </c>
      <c r="H23" s="26">
        <f ca="1" t="shared" si="2"/>
        <v>-220</v>
      </c>
      <c r="I23" s="33" t="str">
        <f ca="1" t="shared" ref="I23:I86" si="7">IF(H23&lt;=$C$12,IF(COUNT(OFFSET(I22,,,-4))&gt;0,"",E23+$C$9),"")</f>
        <v/>
      </c>
      <c r="J23" s="25" t="str">
        <f ca="1" t="shared" ref="J23:J86" si="8">IF(ISNUMBER(I23),$C$13-(H23-SUM(F23:F27)),"")</f>
        <v/>
      </c>
    </row>
    <row r="24" spans="5:10">
      <c r="E24" s="24">
        <v>45681</v>
      </c>
      <c r="F24" s="10">
        <v>274</v>
      </c>
      <c r="G24" s="25">
        <f ca="1">IFERROR(VLOOKUP(E24,$I$1:J23,2,0),0)</f>
        <v>0</v>
      </c>
      <c r="H24" s="26">
        <f ca="1" t="shared" si="2"/>
        <v>-494</v>
      </c>
      <c r="I24" s="33" t="str">
        <f ca="1" t="shared" si="7"/>
        <v/>
      </c>
      <c r="J24" s="25" t="str">
        <f ca="1" t="shared" si="8"/>
        <v/>
      </c>
    </row>
    <row r="25" spans="5:10">
      <c r="E25" s="24">
        <v>45684</v>
      </c>
      <c r="F25" s="10">
        <v>77</v>
      </c>
      <c r="G25" s="25">
        <f ca="1">IFERROR(VLOOKUP(E25,$I$1:J24,2,0),0)</f>
        <v>0</v>
      </c>
      <c r="H25" s="26">
        <f ca="1" t="shared" si="2"/>
        <v>-571</v>
      </c>
      <c r="I25" s="33">
        <f ca="1" t="shared" si="7"/>
        <v>45689</v>
      </c>
      <c r="J25" s="25">
        <f ca="1" t="shared" si="8"/>
        <v>2513</v>
      </c>
    </row>
    <row r="26" spans="5:10">
      <c r="E26" s="24">
        <v>45685</v>
      </c>
      <c r="F26" s="10">
        <v>329</v>
      </c>
      <c r="G26" s="25">
        <f ca="1">IFERROR(VLOOKUP(E26,$I$1:J25,2,0),0)</f>
        <v>0</v>
      </c>
      <c r="H26" s="26">
        <f ca="1" t="shared" si="2"/>
        <v>-900</v>
      </c>
      <c r="I26" s="33" t="str">
        <f ca="1" t="shared" si="7"/>
        <v/>
      </c>
      <c r="J26" s="25" t="str">
        <f ca="1" t="shared" si="8"/>
        <v/>
      </c>
    </row>
    <row r="27" spans="5:10">
      <c r="E27" s="24">
        <v>45686</v>
      </c>
      <c r="F27" s="10">
        <v>398</v>
      </c>
      <c r="G27" s="25">
        <f ca="1">IFERROR(VLOOKUP(E27,$I$1:J26,2,0),0)</f>
        <v>0</v>
      </c>
      <c r="H27" s="26">
        <f ca="1" t="shared" si="2"/>
        <v>-1298</v>
      </c>
      <c r="I27" s="33" t="str">
        <f ca="1" t="shared" si="7"/>
        <v/>
      </c>
      <c r="J27" s="25" t="str">
        <f ca="1" t="shared" si="8"/>
        <v/>
      </c>
    </row>
    <row r="28" spans="5:10">
      <c r="E28" s="24">
        <v>45687</v>
      </c>
      <c r="F28" s="10">
        <v>85</v>
      </c>
      <c r="G28" s="25">
        <f ca="1">IFERROR(VLOOKUP(E28,$I$1:J27,2,0),0)</f>
        <v>0</v>
      </c>
      <c r="H28" s="26">
        <f ca="1" t="shared" si="2"/>
        <v>-1383</v>
      </c>
      <c r="I28" s="33" t="str">
        <f ca="1" t="shared" si="7"/>
        <v/>
      </c>
      <c r="J28" s="25" t="str">
        <f ca="1" t="shared" si="8"/>
        <v/>
      </c>
    </row>
    <row r="29" spans="5:10">
      <c r="E29" s="24">
        <v>45688</v>
      </c>
      <c r="F29" s="10">
        <v>153</v>
      </c>
      <c r="G29" s="25">
        <f ca="1">IFERROR(VLOOKUP(E29,$I$1:J28,2,0),0)</f>
        <v>0</v>
      </c>
      <c r="H29" s="26">
        <f ca="1" t="shared" si="2"/>
        <v>-1536</v>
      </c>
      <c r="I29" s="33" t="str">
        <f ca="1" t="shared" si="7"/>
        <v/>
      </c>
      <c r="J29" s="25" t="str">
        <f ca="1" t="shared" si="8"/>
        <v/>
      </c>
    </row>
    <row r="30" spans="5:10">
      <c r="E30" s="24">
        <v>45691</v>
      </c>
      <c r="F30" s="10">
        <v>56</v>
      </c>
      <c r="G30" s="25">
        <f ca="1">IFERROR(VLOOKUP(E30,$I$1:J29,2,0),0)</f>
        <v>0</v>
      </c>
      <c r="H30" s="26">
        <f ca="1" t="shared" si="2"/>
        <v>-1592</v>
      </c>
      <c r="I30" s="33">
        <f ca="1" t="shared" si="7"/>
        <v>45696</v>
      </c>
      <c r="J30" s="25">
        <f ca="1" t="shared" si="8"/>
        <v>3360</v>
      </c>
    </row>
    <row r="31" spans="5:10">
      <c r="E31" s="24">
        <v>45692</v>
      </c>
      <c r="F31" s="10">
        <v>133</v>
      </c>
      <c r="G31" s="25">
        <f ca="1">IFERROR(VLOOKUP(E31,$I$1:J30,2,0),0)</f>
        <v>0</v>
      </c>
      <c r="H31" s="26">
        <f ca="1" t="shared" si="2"/>
        <v>-1725</v>
      </c>
      <c r="I31" s="33" t="str">
        <f ca="1" t="shared" si="7"/>
        <v/>
      </c>
      <c r="J31" s="25" t="str">
        <f ca="1" t="shared" si="8"/>
        <v/>
      </c>
    </row>
    <row r="32" spans="5:10">
      <c r="E32" s="24">
        <v>45693</v>
      </c>
      <c r="F32" s="10">
        <v>83</v>
      </c>
      <c r="G32" s="25">
        <f ca="1">IFERROR(VLOOKUP(E32,$I$1:J31,2,0),0)</f>
        <v>0</v>
      </c>
      <c r="H32" s="26">
        <f ca="1" t="shared" si="2"/>
        <v>-1808</v>
      </c>
      <c r="I32" s="33" t="str">
        <f ca="1" t="shared" si="7"/>
        <v/>
      </c>
      <c r="J32" s="25" t="str">
        <f ca="1" t="shared" si="8"/>
        <v/>
      </c>
    </row>
    <row r="33" spans="5:10">
      <c r="E33" s="24">
        <v>45694</v>
      </c>
      <c r="F33" s="10">
        <v>195</v>
      </c>
      <c r="G33" s="25">
        <f ca="1">IFERROR(VLOOKUP(E33,$I$1:J32,2,0),0)</f>
        <v>0</v>
      </c>
      <c r="H33" s="26">
        <f ca="1" t="shared" si="2"/>
        <v>-2003</v>
      </c>
      <c r="I33" s="33" t="str">
        <f ca="1" t="shared" si="7"/>
        <v/>
      </c>
      <c r="J33" s="25" t="str">
        <f ca="1" t="shared" si="8"/>
        <v/>
      </c>
    </row>
    <row r="34" spans="5:10">
      <c r="E34" s="24">
        <v>45695</v>
      </c>
      <c r="F34" s="10">
        <v>401</v>
      </c>
      <c r="G34" s="25">
        <f ca="1">IFERROR(VLOOKUP(E34,$I$1:J33,2,0),0)</f>
        <v>0</v>
      </c>
      <c r="H34" s="26">
        <f ca="1" t="shared" si="2"/>
        <v>-2404</v>
      </c>
      <c r="I34" s="33" t="str">
        <f ca="1" t="shared" si="7"/>
        <v/>
      </c>
      <c r="J34" s="25" t="str">
        <f ca="1" t="shared" si="8"/>
        <v/>
      </c>
    </row>
    <row r="35" spans="5:10">
      <c r="E35" s="24">
        <v>45698</v>
      </c>
      <c r="F35" s="10">
        <v>281</v>
      </c>
      <c r="G35" s="25">
        <f ca="1">IFERROR(VLOOKUP(E35,$I$1:J34,2,0),0)</f>
        <v>0</v>
      </c>
      <c r="H35" s="26">
        <f ca="1" t="shared" si="2"/>
        <v>-2685</v>
      </c>
      <c r="I35" s="33">
        <f ca="1" t="shared" si="7"/>
        <v>45703</v>
      </c>
      <c r="J35" s="25">
        <f ca="1" t="shared" si="8"/>
        <v>4831</v>
      </c>
    </row>
    <row r="36" spans="5:10">
      <c r="E36" s="24">
        <v>45699</v>
      </c>
      <c r="F36" s="10">
        <v>298</v>
      </c>
      <c r="G36" s="25">
        <f ca="1">IFERROR(VLOOKUP(E36,$I$1:J35,2,0),0)</f>
        <v>0</v>
      </c>
      <c r="H36" s="26">
        <f ca="1" t="shared" si="2"/>
        <v>-2983</v>
      </c>
      <c r="I36" s="33" t="str">
        <f ca="1" t="shared" si="7"/>
        <v/>
      </c>
      <c r="J36" s="25" t="str">
        <f ca="1" t="shared" si="8"/>
        <v/>
      </c>
    </row>
    <row r="37" spans="5:10">
      <c r="E37" s="24">
        <v>45700</v>
      </c>
      <c r="F37" s="10">
        <v>255</v>
      </c>
      <c r="G37" s="25">
        <f ca="1">IFERROR(VLOOKUP(E37,$I$1:J36,2,0),0)</f>
        <v>0</v>
      </c>
      <c r="H37" s="26">
        <f ca="1" t="shared" si="2"/>
        <v>-3238</v>
      </c>
      <c r="I37" s="33" t="str">
        <f ca="1" t="shared" si="7"/>
        <v/>
      </c>
      <c r="J37" s="25" t="str">
        <f ca="1" t="shared" si="8"/>
        <v/>
      </c>
    </row>
    <row r="38" spans="5:10">
      <c r="E38" s="24">
        <v>45701</v>
      </c>
      <c r="F38" s="10">
        <v>234</v>
      </c>
      <c r="G38" s="25">
        <f ca="1">IFERROR(VLOOKUP(E38,$I$1:J37,2,0),0)</f>
        <v>0</v>
      </c>
      <c r="H38" s="26">
        <f ca="1" t="shared" si="2"/>
        <v>-3472</v>
      </c>
      <c r="I38" s="33" t="str">
        <f ca="1" t="shared" si="7"/>
        <v/>
      </c>
      <c r="J38" s="25" t="str">
        <f ca="1" t="shared" si="8"/>
        <v/>
      </c>
    </row>
    <row r="39" spans="5:10">
      <c r="E39" s="24">
        <v>45702</v>
      </c>
      <c r="F39" s="10">
        <v>178</v>
      </c>
      <c r="G39" s="25">
        <f ca="1">IFERROR(VLOOKUP(E39,$I$1:J38,2,0),0)</f>
        <v>0</v>
      </c>
      <c r="H39" s="26">
        <f ca="1" t="shared" si="2"/>
        <v>-3650</v>
      </c>
      <c r="I39" s="33" t="str">
        <f ca="1" t="shared" si="7"/>
        <v/>
      </c>
      <c r="J39" s="25" t="str">
        <f ca="1" t="shared" si="8"/>
        <v/>
      </c>
    </row>
    <row r="40" spans="5:10">
      <c r="E40" s="24">
        <v>45705</v>
      </c>
      <c r="F40" s="10">
        <v>70</v>
      </c>
      <c r="G40" s="25">
        <f ca="1">IFERROR(VLOOKUP(E40,$I$1:J39,2,0),0)</f>
        <v>0</v>
      </c>
      <c r="H40" s="26">
        <f ca="1" t="shared" si="2"/>
        <v>-3720</v>
      </c>
      <c r="I40" s="33">
        <f ca="1" t="shared" si="7"/>
        <v>45710</v>
      </c>
      <c r="J40" s="25">
        <f ca="1" t="shared" si="8"/>
        <v>5589</v>
      </c>
    </row>
    <row r="41" spans="5:10">
      <c r="E41" s="24">
        <v>45706</v>
      </c>
      <c r="F41" s="10">
        <v>310</v>
      </c>
      <c r="G41" s="25">
        <f ca="1">IFERROR(VLOOKUP(E41,$I$1:J40,2,0),0)</f>
        <v>0</v>
      </c>
      <c r="H41" s="26">
        <f ca="1" t="shared" si="2"/>
        <v>-4030</v>
      </c>
      <c r="I41" s="33" t="str">
        <f ca="1" t="shared" si="7"/>
        <v/>
      </c>
      <c r="J41" s="25" t="str">
        <f ca="1" t="shared" si="8"/>
        <v/>
      </c>
    </row>
    <row r="42" spans="5:10">
      <c r="E42" s="24">
        <v>45707</v>
      </c>
      <c r="F42" s="10">
        <v>86</v>
      </c>
      <c r="G42" s="25">
        <f ca="1">IFERROR(VLOOKUP(E42,$I$1:J41,2,0),0)</f>
        <v>0</v>
      </c>
      <c r="H42" s="26">
        <f ca="1" t="shared" si="2"/>
        <v>-4116</v>
      </c>
      <c r="I42" s="33" t="str">
        <f ca="1" t="shared" si="7"/>
        <v/>
      </c>
      <c r="J42" s="25" t="str">
        <f ca="1" t="shared" si="8"/>
        <v/>
      </c>
    </row>
    <row r="43" spans="5:10">
      <c r="E43" s="24">
        <v>45708</v>
      </c>
      <c r="F43" s="10">
        <v>171</v>
      </c>
      <c r="G43" s="25">
        <f ca="1">IFERROR(VLOOKUP(E43,$I$1:J42,2,0),0)</f>
        <v>0</v>
      </c>
      <c r="H43" s="26">
        <f ca="1" t="shared" si="2"/>
        <v>-4287</v>
      </c>
      <c r="I43" s="33" t="str">
        <f ca="1" t="shared" si="7"/>
        <v/>
      </c>
      <c r="J43" s="25" t="str">
        <f ca="1" t="shared" si="8"/>
        <v/>
      </c>
    </row>
    <row r="44" spans="5:10">
      <c r="E44" s="24">
        <v>45709</v>
      </c>
      <c r="F44" s="10">
        <v>332</v>
      </c>
      <c r="G44" s="25">
        <f ca="1">IFERROR(VLOOKUP(E44,$I$1:J43,2,0),0)</f>
        <v>0</v>
      </c>
      <c r="H44" s="26">
        <f ca="1" t="shared" si="2"/>
        <v>-4619</v>
      </c>
      <c r="I44" s="33" t="str">
        <f ca="1" t="shared" si="7"/>
        <v/>
      </c>
      <c r="J44" s="25" t="str">
        <f ca="1" t="shared" si="8"/>
        <v/>
      </c>
    </row>
    <row r="45" spans="5:10">
      <c r="E45" s="24">
        <v>45712</v>
      </c>
      <c r="F45" s="10">
        <v>63</v>
      </c>
      <c r="G45" s="25">
        <f ca="1">IFERROR(VLOOKUP(E45,$I$1:J44,2,0),0)</f>
        <v>0</v>
      </c>
      <c r="H45" s="26">
        <f ca="1" t="shared" si="2"/>
        <v>-4682</v>
      </c>
      <c r="I45" s="33">
        <f ca="1" t="shared" si="7"/>
        <v>45717</v>
      </c>
      <c r="J45" s="25">
        <f ca="1" t="shared" si="8"/>
        <v>6078</v>
      </c>
    </row>
    <row r="46" spans="5:10">
      <c r="E46" s="24">
        <v>45713</v>
      </c>
      <c r="F46" s="10">
        <v>56</v>
      </c>
      <c r="G46" s="25">
        <f ca="1">IFERROR(VLOOKUP(E46,$I$1:J45,2,0),0)</f>
        <v>0</v>
      </c>
      <c r="H46" s="26">
        <f ca="1" t="shared" si="2"/>
        <v>-4738</v>
      </c>
      <c r="I46" s="33" t="str">
        <f ca="1" t="shared" si="7"/>
        <v/>
      </c>
      <c r="J46" s="25" t="str">
        <f ca="1" t="shared" si="8"/>
        <v/>
      </c>
    </row>
    <row r="47" spans="5:10">
      <c r="E47" s="24">
        <v>45714</v>
      </c>
      <c r="F47" s="10">
        <v>44</v>
      </c>
      <c r="G47" s="25">
        <f ca="1">IFERROR(VLOOKUP(E47,$I$1:J46,2,0),0)</f>
        <v>0</v>
      </c>
      <c r="H47" s="26">
        <f ca="1" t="shared" si="2"/>
        <v>-4782</v>
      </c>
      <c r="I47" s="33" t="str">
        <f ca="1" t="shared" si="7"/>
        <v/>
      </c>
      <c r="J47" s="25" t="str">
        <f ca="1" t="shared" si="8"/>
        <v/>
      </c>
    </row>
    <row r="48" spans="5:10">
      <c r="E48" s="24">
        <v>45715</v>
      </c>
      <c r="F48" s="10">
        <v>157</v>
      </c>
      <c r="G48" s="25">
        <f ca="1">IFERROR(VLOOKUP(E48,$I$1:J47,2,0),0)</f>
        <v>0</v>
      </c>
      <c r="H48" s="26">
        <f ca="1" t="shared" si="2"/>
        <v>-4939</v>
      </c>
      <c r="I48" s="33" t="str">
        <f ca="1" t="shared" si="7"/>
        <v/>
      </c>
      <c r="J48" s="25" t="str">
        <f ca="1" t="shared" si="8"/>
        <v/>
      </c>
    </row>
    <row r="49" spans="5:10">
      <c r="E49" s="24">
        <v>45716</v>
      </c>
      <c r="F49" s="10">
        <v>176</v>
      </c>
      <c r="G49" s="25">
        <f ca="1">IFERROR(VLOOKUP(E49,$I$1:J48,2,0),0)</f>
        <v>0</v>
      </c>
      <c r="H49" s="26">
        <f ca="1" t="shared" si="2"/>
        <v>-5115</v>
      </c>
      <c r="I49" s="33" t="str">
        <f ca="1" t="shared" si="7"/>
        <v/>
      </c>
      <c r="J49" s="25" t="str">
        <f ca="1" t="shared" si="8"/>
        <v/>
      </c>
    </row>
    <row r="50" spans="5:10">
      <c r="E50" s="24">
        <v>45722</v>
      </c>
      <c r="F50" s="10">
        <v>24</v>
      </c>
      <c r="G50" s="25">
        <f ca="1">IFERROR(VLOOKUP(E50,$I$1:J49,2,0),0)</f>
        <v>0</v>
      </c>
      <c r="H50" s="26">
        <f ca="1" t="shared" si="2"/>
        <v>-5139</v>
      </c>
      <c r="I50" s="33">
        <f ca="1" t="shared" si="7"/>
        <v>45727</v>
      </c>
      <c r="J50" s="25">
        <f ca="1" t="shared" si="8"/>
        <v>6528</v>
      </c>
    </row>
    <row r="51" spans="5:10">
      <c r="E51" s="24">
        <v>45723</v>
      </c>
      <c r="F51" s="10">
        <v>78</v>
      </c>
      <c r="G51" s="25">
        <f ca="1">IFERROR(VLOOKUP(E51,$I$1:J50,2,0),0)</f>
        <v>0</v>
      </c>
      <c r="H51" s="26">
        <f ca="1" t="shared" si="2"/>
        <v>-5217</v>
      </c>
      <c r="I51" s="33" t="str">
        <f ca="1" t="shared" si="7"/>
        <v/>
      </c>
      <c r="J51" s="25" t="str">
        <f ca="1" t="shared" si="8"/>
        <v/>
      </c>
    </row>
    <row r="52" spans="5:10">
      <c r="E52" s="24">
        <v>45726</v>
      </c>
      <c r="F52" s="10">
        <v>278</v>
      </c>
      <c r="G52" s="25">
        <f ca="1">IFERROR(VLOOKUP(E52,$I$1:J51,2,0),0)</f>
        <v>0</v>
      </c>
      <c r="H52" s="26">
        <f ca="1" t="shared" si="2"/>
        <v>-5495</v>
      </c>
      <c r="I52" s="33" t="str">
        <f ca="1" t="shared" si="7"/>
        <v/>
      </c>
      <c r="J52" s="25" t="str">
        <f ca="1" t="shared" si="8"/>
        <v/>
      </c>
    </row>
    <row r="53" spans="5:10">
      <c r="E53" s="24">
        <v>45727</v>
      </c>
      <c r="F53" s="10">
        <v>42</v>
      </c>
      <c r="G53" s="25">
        <f ca="1">IFERROR(VLOOKUP(E53,$I$1:J52,2,0),0)</f>
        <v>6528</v>
      </c>
      <c r="H53" s="26">
        <f ca="1" t="shared" si="2"/>
        <v>991</v>
      </c>
      <c r="I53" s="33" t="str">
        <f ca="1" t="shared" si="7"/>
        <v/>
      </c>
      <c r="J53" s="25" t="str">
        <f ca="1" t="shared" si="8"/>
        <v/>
      </c>
    </row>
    <row r="54" spans="5:10">
      <c r="E54" s="24">
        <v>45728</v>
      </c>
      <c r="F54" s="10">
        <v>67</v>
      </c>
      <c r="G54" s="25">
        <f ca="1">IFERROR(VLOOKUP(E54,$I$1:J53,2,0),0)</f>
        <v>0</v>
      </c>
      <c r="H54" s="26">
        <f ca="1" t="shared" si="2"/>
        <v>924</v>
      </c>
      <c r="I54" s="33" t="str">
        <f ca="1" t="shared" si="7"/>
        <v/>
      </c>
      <c r="J54" s="25" t="str">
        <f ca="1" t="shared" si="8"/>
        <v/>
      </c>
    </row>
    <row r="55" spans="5:10">
      <c r="E55" s="24">
        <v>45729</v>
      </c>
      <c r="F55" s="10">
        <v>166</v>
      </c>
      <c r="G55" s="25">
        <f ca="1">IFERROR(VLOOKUP(E55,$I$1:J54,2,0),0)</f>
        <v>0</v>
      </c>
      <c r="H55" s="26">
        <f ca="1" t="shared" si="2"/>
        <v>758</v>
      </c>
      <c r="I55" s="33" t="str">
        <f ca="1" t="shared" si="7"/>
        <v/>
      </c>
      <c r="J55" s="25" t="str">
        <f ca="1" t="shared" si="8"/>
        <v/>
      </c>
    </row>
    <row r="56" spans="5:10">
      <c r="E56" s="24">
        <v>45730</v>
      </c>
      <c r="F56" s="10">
        <v>67</v>
      </c>
      <c r="G56" s="25">
        <f ca="1">IFERROR(VLOOKUP(E56,$I$1:J55,2,0),0)</f>
        <v>0</v>
      </c>
      <c r="H56" s="26">
        <f ca="1" t="shared" si="2"/>
        <v>691</v>
      </c>
      <c r="I56" s="33" t="str">
        <f ca="1" t="shared" si="7"/>
        <v/>
      </c>
      <c r="J56" s="25" t="str">
        <f ca="1" t="shared" si="8"/>
        <v/>
      </c>
    </row>
    <row r="57" spans="5:10">
      <c r="E57" s="24">
        <v>45731</v>
      </c>
      <c r="F57" s="10">
        <v>22</v>
      </c>
      <c r="G57" s="25">
        <f ca="1">IFERROR(VLOOKUP(E57,$I$1:J56,2,0),0)</f>
        <v>0</v>
      </c>
      <c r="H57" s="26">
        <f ca="1" t="shared" si="2"/>
        <v>669</v>
      </c>
      <c r="I57" s="33" t="str">
        <f ca="1" t="shared" si="7"/>
        <v/>
      </c>
      <c r="J57" s="25" t="str">
        <f ca="1" t="shared" si="8"/>
        <v/>
      </c>
    </row>
    <row r="58" spans="5:10">
      <c r="E58" s="24">
        <v>45733</v>
      </c>
      <c r="F58" s="10">
        <v>86</v>
      </c>
      <c r="G58" s="25">
        <f ca="1">IFERROR(VLOOKUP(E58,$I$1:J57,2,0),0)</f>
        <v>0</v>
      </c>
      <c r="H58" s="26">
        <f ca="1" t="shared" si="2"/>
        <v>583</v>
      </c>
      <c r="I58" s="33">
        <f ca="1" t="shared" si="7"/>
        <v>45738</v>
      </c>
      <c r="J58" s="25">
        <f ca="1" t="shared" si="8"/>
        <v>850</v>
      </c>
    </row>
    <row r="59" spans="5:10">
      <c r="E59" s="24">
        <v>45734</v>
      </c>
      <c r="F59" s="10">
        <v>216</v>
      </c>
      <c r="G59" s="25">
        <f ca="1">IFERROR(VLOOKUP(E59,$I$1:J58,2,0),0)</f>
        <v>0</v>
      </c>
      <c r="H59" s="26">
        <f ca="1" t="shared" si="2"/>
        <v>367</v>
      </c>
      <c r="I59" s="33" t="str">
        <f ca="1" t="shared" si="7"/>
        <v/>
      </c>
      <c r="J59" s="25" t="str">
        <f ca="1" t="shared" si="8"/>
        <v/>
      </c>
    </row>
    <row r="60" spans="5:10">
      <c r="E60" s="24">
        <v>45735</v>
      </c>
      <c r="F60" s="10">
        <v>92</v>
      </c>
      <c r="G60" s="25">
        <f ca="1">IFERROR(VLOOKUP(E60,$I$1:J59,2,0),0)</f>
        <v>0</v>
      </c>
      <c r="H60" s="26">
        <f ca="1" t="shared" si="2"/>
        <v>275</v>
      </c>
      <c r="I60" s="33" t="str">
        <f ca="1" t="shared" si="7"/>
        <v/>
      </c>
      <c r="J60" s="25" t="str">
        <f ca="1" t="shared" si="8"/>
        <v/>
      </c>
    </row>
    <row r="61" spans="5:10">
      <c r="E61" s="24">
        <v>45736</v>
      </c>
      <c r="F61" s="10">
        <v>75</v>
      </c>
      <c r="G61" s="25">
        <f ca="1">IFERROR(VLOOKUP(E61,$I$1:J60,2,0),0)</f>
        <v>0</v>
      </c>
      <c r="H61" s="26">
        <f ca="1" t="shared" si="2"/>
        <v>200</v>
      </c>
      <c r="I61" s="33" t="str">
        <f ca="1" t="shared" si="7"/>
        <v/>
      </c>
      <c r="J61" s="25" t="str">
        <f ca="1" t="shared" si="8"/>
        <v/>
      </c>
    </row>
    <row r="62" spans="5:10">
      <c r="E62" s="24">
        <v>45737</v>
      </c>
      <c r="F62" s="10">
        <v>64</v>
      </c>
      <c r="G62" s="25">
        <f ca="1">IFERROR(VLOOKUP(E62,$I$1:J61,2,0),0)</f>
        <v>0</v>
      </c>
      <c r="H62" s="26">
        <f ca="1" t="shared" si="2"/>
        <v>136</v>
      </c>
      <c r="I62" s="33" t="str">
        <f ca="1" t="shared" si="7"/>
        <v/>
      </c>
      <c r="J62" s="25" t="str">
        <f ca="1" t="shared" si="8"/>
        <v/>
      </c>
    </row>
    <row r="63" spans="5:10">
      <c r="E63" s="24">
        <v>45740</v>
      </c>
      <c r="F63" s="10">
        <v>28</v>
      </c>
      <c r="G63" s="25">
        <f ca="1">IFERROR(VLOOKUP(E63,$I$1:J62,2,0),0)</f>
        <v>0</v>
      </c>
      <c r="H63" s="26">
        <f ca="1" t="shared" si="2"/>
        <v>108</v>
      </c>
      <c r="I63" s="33">
        <f ca="1" t="shared" si="7"/>
        <v>45745</v>
      </c>
      <c r="J63" s="25">
        <f ca="1" t="shared" si="8"/>
        <v>1195</v>
      </c>
    </row>
    <row r="64" spans="5:10">
      <c r="E64" s="24">
        <v>45741</v>
      </c>
      <c r="F64" s="10">
        <v>162</v>
      </c>
      <c r="G64" s="25">
        <f ca="1">IFERROR(VLOOKUP(E64,$I$1:J63,2,0),0)</f>
        <v>0</v>
      </c>
      <c r="H64" s="26">
        <f ca="1" t="shared" si="2"/>
        <v>-54</v>
      </c>
      <c r="I64" s="33" t="str">
        <f ca="1" t="shared" si="7"/>
        <v/>
      </c>
      <c r="J64" s="25" t="str">
        <f ca="1" t="shared" si="8"/>
        <v/>
      </c>
    </row>
    <row r="65" spans="5:10">
      <c r="E65" s="24">
        <v>45742</v>
      </c>
      <c r="F65" s="10">
        <v>81</v>
      </c>
      <c r="G65" s="25">
        <f ca="1">IFERROR(VLOOKUP(E65,$I$1:J64,2,0),0)</f>
        <v>0</v>
      </c>
      <c r="H65" s="26">
        <f ca="1" t="shared" si="2"/>
        <v>-135</v>
      </c>
      <c r="I65" s="33" t="str">
        <f ca="1" t="shared" si="7"/>
        <v/>
      </c>
      <c r="J65" s="25" t="str">
        <f ca="1" t="shared" si="8"/>
        <v/>
      </c>
    </row>
    <row r="66" spans="5:10">
      <c r="E66" s="24">
        <v>45743</v>
      </c>
      <c r="F66" s="10">
        <v>35</v>
      </c>
      <c r="G66" s="25">
        <f ca="1">IFERROR(VLOOKUP(E66,$I$1:J65,2,0),0)</f>
        <v>0</v>
      </c>
      <c r="H66" s="26">
        <f ca="1" t="shared" si="2"/>
        <v>-170</v>
      </c>
      <c r="I66" s="33" t="str">
        <f ca="1" t="shared" si="7"/>
        <v/>
      </c>
      <c r="J66" s="25" t="str">
        <f ca="1" t="shared" si="8"/>
        <v/>
      </c>
    </row>
    <row r="67" spans="5:10">
      <c r="E67" s="24">
        <v>45744</v>
      </c>
      <c r="F67" s="10">
        <v>97</v>
      </c>
      <c r="G67" s="25">
        <f ca="1">IFERROR(VLOOKUP(E67,$I$1:J66,2,0),0)</f>
        <v>0</v>
      </c>
      <c r="H67" s="26">
        <f ca="1" t="shared" si="2"/>
        <v>-267</v>
      </c>
      <c r="I67" s="33" t="str">
        <f ca="1" t="shared" si="7"/>
        <v/>
      </c>
      <c r="J67" s="25" t="str">
        <f ca="1" t="shared" si="8"/>
        <v/>
      </c>
    </row>
    <row r="68" spans="5:10">
      <c r="E68" s="24">
        <v>45747</v>
      </c>
      <c r="F68" s="10">
        <v>3</v>
      </c>
      <c r="G68" s="25">
        <f ca="1">IFERROR(VLOOKUP(E68,$I$1:J67,2,0),0)</f>
        <v>0</v>
      </c>
      <c r="H68" s="26">
        <f ca="1" t="shared" si="2"/>
        <v>-270</v>
      </c>
      <c r="I68" s="33">
        <f ca="1" t="shared" si="7"/>
        <v>45752</v>
      </c>
      <c r="J68" s="25">
        <f ca="1" t="shared" si="8"/>
        <v>1319</v>
      </c>
    </row>
    <row r="69" spans="5:10">
      <c r="E69" s="24">
        <v>45748</v>
      </c>
      <c r="F69" s="10">
        <v>38</v>
      </c>
      <c r="G69" s="25">
        <f ca="1">IFERROR(VLOOKUP(E69,$I$1:J68,2,0),0)</f>
        <v>0</v>
      </c>
      <c r="H69" s="26">
        <f ca="1" t="shared" si="2"/>
        <v>-308</v>
      </c>
      <c r="I69" s="33" t="str">
        <f ca="1" t="shared" si="7"/>
        <v/>
      </c>
      <c r="J69" s="25" t="str">
        <f ca="1" t="shared" si="8"/>
        <v/>
      </c>
    </row>
    <row r="70" spans="5:10">
      <c r="E70" s="24">
        <v>45749</v>
      </c>
      <c r="F70" s="10">
        <v>15</v>
      </c>
      <c r="G70" s="25">
        <f ca="1">IFERROR(VLOOKUP(E70,$I$1:J69,2,0),0)</f>
        <v>0</v>
      </c>
      <c r="H70" s="26">
        <f ca="1" t="shared" si="2"/>
        <v>-323</v>
      </c>
      <c r="I70" s="33" t="str">
        <f ca="1" t="shared" si="7"/>
        <v/>
      </c>
      <c r="J70" s="25" t="str">
        <f ca="1" t="shared" si="8"/>
        <v/>
      </c>
    </row>
    <row r="71" spans="5:10">
      <c r="E71" s="24">
        <v>45750</v>
      </c>
      <c r="F71" s="10">
        <v>13</v>
      </c>
      <c r="G71" s="25">
        <f ca="1">IFERROR(VLOOKUP(E71,$I$1:J70,2,0),0)</f>
        <v>0</v>
      </c>
      <c r="H71" s="26">
        <f ca="1" t="shared" si="2"/>
        <v>-336</v>
      </c>
      <c r="I71" s="33" t="str">
        <f ca="1" t="shared" si="7"/>
        <v/>
      </c>
      <c r="J71" s="25" t="str">
        <f ca="1" t="shared" si="8"/>
        <v/>
      </c>
    </row>
    <row r="72" spans="5:10">
      <c r="E72" s="24">
        <v>45751</v>
      </c>
      <c r="F72" s="10">
        <v>80</v>
      </c>
      <c r="G72" s="25">
        <f ca="1">IFERROR(VLOOKUP(E72,$I$1:J71,2,0),0)</f>
        <v>0</v>
      </c>
      <c r="H72" s="26">
        <f ca="1" t="shared" si="2"/>
        <v>-416</v>
      </c>
      <c r="I72" s="33" t="str">
        <f ca="1" t="shared" si="7"/>
        <v/>
      </c>
      <c r="J72" s="25" t="str">
        <f ca="1" t="shared" si="8"/>
        <v/>
      </c>
    </row>
    <row r="73" spans="5:10">
      <c r="E73" s="24">
        <v>45754</v>
      </c>
      <c r="F73" s="10">
        <v>95</v>
      </c>
      <c r="G73" s="25">
        <f ca="1">IFERROR(VLOOKUP(E73,$I$1:J72,2,0),0)</f>
        <v>0</v>
      </c>
      <c r="H73" s="26">
        <f ca="1" t="shared" si="2"/>
        <v>-511</v>
      </c>
      <c r="I73" s="33">
        <f ca="1" t="shared" si="7"/>
        <v>45759</v>
      </c>
      <c r="J73" s="25">
        <f ca="1" t="shared" si="8"/>
        <v>1934</v>
      </c>
    </row>
    <row r="74" spans="5:10">
      <c r="E74" s="24">
        <v>45755</v>
      </c>
      <c r="F74" s="10">
        <v>15</v>
      </c>
      <c r="G74" s="25">
        <f ca="1">IFERROR(VLOOKUP(E74,$I$1:J73,2,0),0)</f>
        <v>0</v>
      </c>
      <c r="H74" s="26">
        <f ca="1" t="shared" ref="H74:H119" si="9">H73+G74-F74</f>
        <v>-526</v>
      </c>
      <c r="I74" s="33" t="str">
        <f ca="1" t="shared" si="7"/>
        <v/>
      </c>
      <c r="J74" s="25" t="str">
        <f ca="1" t="shared" si="8"/>
        <v/>
      </c>
    </row>
    <row r="75" spans="5:10">
      <c r="E75" s="24">
        <v>45756</v>
      </c>
      <c r="F75" s="10">
        <v>174</v>
      </c>
      <c r="G75" s="25">
        <f ca="1">IFERROR(VLOOKUP(E75,$I$1:J74,2,0),0)</f>
        <v>0</v>
      </c>
      <c r="H75" s="26">
        <f ca="1" t="shared" si="9"/>
        <v>-700</v>
      </c>
      <c r="I75" s="33" t="str">
        <f ca="1" t="shared" si="7"/>
        <v/>
      </c>
      <c r="J75" s="25" t="str">
        <f ca="1" t="shared" si="8"/>
        <v/>
      </c>
    </row>
    <row r="76" spans="5:10">
      <c r="E76" s="24">
        <v>45757</v>
      </c>
      <c r="F76" s="10">
        <v>14</v>
      </c>
      <c r="G76" s="25">
        <f ca="1">IFERROR(VLOOKUP(E76,$I$1:J75,2,0),0)</f>
        <v>0</v>
      </c>
      <c r="H76" s="26">
        <f ca="1" t="shared" si="9"/>
        <v>-714</v>
      </c>
      <c r="I76" s="33" t="str">
        <f ca="1" t="shared" si="7"/>
        <v/>
      </c>
      <c r="J76" s="25" t="str">
        <f ca="1" t="shared" si="8"/>
        <v/>
      </c>
    </row>
    <row r="77" spans="5:10">
      <c r="E77" s="24">
        <v>45758</v>
      </c>
      <c r="F77" s="10">
        <v>225</v>
      </c>
      <c r="G77" s="25">
        <f ca="1">IFERROR(VLOOKUP(E77,$I$1:J76,2,0),0)</f>
        <v>0</v>
      </c>
      <c r="H77" s="26">
        <f ca="1" t="shared" si="9"/>
        <v>-939</v>
      </c>
      <c r="I77" s="33" t="str">
        <f ca="1" t="shared" si="7"/>
        <v/>
      </c>
      <c r="J77" s="25" t="str">
        <f ca="1" t="shared" si="8"/>
        <v/>
      </c>
    </row>
    <row r="78" spans="5:10">
      <c r="E78" s="24">
        <v>45761</v>
      </c>
      <c r="F78" s="10">
        <v>135</v>
      </c>
      <c r="G78" s="25">
        <f ca="1">IFERROR(VLOOKUP(E78,$I$1:J77,2,0),0)</f>
        <v>0</v>
      </c>
      <c r="H78" s="26">
        <f ca="1" t="shared" si="9"/>
        <v>-1074</v>
      </c>
      <c r="I78" s="33">
        <f ca="1" t="shared" si="7"/>
        <v>45766</v>
      </c>
      <c r="J78" s="25">
        <f ca="1" t="shared" si="8"/>
        <v>2535</v>
      </c>
    </row>
    <row r="79" spans="5:10">
      <c r="E79" s="24">
        <v>45762</v>
      </c>
      <c r="F79" s="10">
        <v>71</v>
      </c>
      <c r="G79" s="25">
        <f ca="1">IFERROR(VLOOKUP(E79,$I$1:J78,2,0),0)</f>
        <v>0</v>
      </c>
      <c r="H79" s="26">
        <f ca="1" t="shared" si="9"/>
        <v>-1145</v>
      </c>
      <c r="I79" s="33" t="str">
        <f ca="1" t="shared" si="7"/>
        <v/>
      </c>
      <c r="J79" s="25" t="str">
        <f ca="1" t="shared" si="8"/>
        <v/>
      </c>
    </row>
    <row r="80" spans="5:10">
      <c r="E80" s="24">
        <v>45763</v>
      </c>
      <c r="F80" s="10">
        <v>213</v>
      </c>
      <c r="G80" s="25">
        <f ca="1">IFERROR(VLOOKUP(E80,$I$1:J79,2,0),0)</f>
        <v>0</v>
      </c>
      <c r="H80" s="26">
        <f ca="1" t="shared" si="9"/>
        <v>-1358</v>
      </c>
      <c r="I80" s="33" t="str">
        <f ca="1" t="shared" si="7"/>
        <v/>
      </c>
      <c r="J80" s="25" t="str">
        <f ca="1" t="shared" si="8"/>
        <v/>
      </c>
    </row>
    <row r="81" spans="5:10">
      <c r="E81" s="24">
        <v>45764</v>
      </c>
      <c r="F81" s="10">
        <v>25</v>
      </c>
      <c r="G81" s="25">
        <f ca="1">IFERROR(VLOOKUP(E81,$I$1:J80,2,0),0)</f>
        <v>0</v>
      </c>
      <c r="H81" s="26">
        <f ca="1" t="shared" si="9"/>
        <v>-1383</v>
      </c>
      <c r="I81" s="33" t="str">
        <f ca="1" t="shared" si="7"/>
        <v/>
      </c>
      <c r="J81" s="25" t="str">
        <f ca="1" t="shared" si="8"/>
        <v/>
      </c>
    </row>
    <row r="82" spans="5:10">
      <c r="E82" s="24">
        <v>45769</v>
      </c>
      <c r="F82" s="10">
        <v>117</v>
      </c>
      <c r="G82" s="25">
        <f ca="1">IFERROR(VLOOKUP(E82,$I$1:J81,2,0),0)</f>
        <v>0</v>
      </c>
      <c r="H82" s="26">
        <f ca="1" t="shared" si="9"/>
        <v>-1500</v>
      </c>
      <c r="I82" s="33" t="str">
        <f ca="1" t="shared" si="7"/>
        <v/>
      </c>
      <c r="J82" s="25" t="str">
        <f ca="1" t="shared" si="8"/>
        <v/>
      </c>
    </row>
    <row r="83" spans="5:10">
      <c r="E83" s="24">
        <v>45770</v>
      </c>
      <c r="F83" s="10">
        <v>41</v>
      </c>
      <c r="G83" s="25">
        <f ca="1">IFERROR(VLOOKUP(E83,$I$1:J82,2,0),0)</f>
        <v>0</v>
      </c>
      <c r="H83" s="26">
        <f ca="1" t="shared" si="9"/>
        <v>-1541</v>
      </c>
      <c r="I83" s="33">
        <f ca="1" t="shared" si="7"/>
        <v>45775</v>
      </c>
      <c r="J83" s="25">
        <f ca="1" t="shared" si="8"/>
        <v>2893</v>
      </c>
    </row>
    <row r="84" spans="5:10">
      <c r="E84" s="24">
        <v>45771</v>
      </c>
      <c r="F84" s="10">
        <v>76</v>
      </c>
      <c r="G84" s="25">
        <f ca="1">IFERROR(VLOOKUP(E84,$I$1:J83,2,0),0)</f>
        <v>0</v>
      </c>
      <c r="H84" s="26">
        <f ca="1" t="shared" si="9"/>
        <v>-1617</v>
      </c>
      <c r="I84" s="33" t="str">
        <f ca="1" t="shared" si="7"/>
        <v/>
      </c>
      <c r="J84" s="25" t="str">
        <f ca="1" t="shared" si="8"/>
        <v/>
      </c>
    </row>
    <row r="85" spans="5:10">
      <c r="E85" s="24">
        <v>45772</v>
      </c>
      <c r="F85" s="10">
        <v>87</v>
      </c>
      <c r="G85" s="25">
        <f ca="1">IFERROR(VLOOKUP(E85,$I$1:J84,2,0),0)</f>
        <v>0</v>
      </c>
      <c r="H85" s="26">
        <f ca="1" t="shared" si="9"/>
        <v>-1704</v>
      </c>
      <c r="I85" s="33" t="str">
        <f ca="1" t="shared" si="7"/>
        <v/>
      </c>
      <c r="J85" s="25" t="str">
        <f ca="1" t="shared" si="8"/>
        <v/>
      </c>
    </row>
    <row r="86" spans="5:10">
      <c r="E86" s="24">
        <v>45776</v>
      </c>
      <c r="F86" s="10">
        <v>130</v>
      </c>
      <c r="G86" s="25">
        <f ca="1">IFERROR(VLOOKUP(E86,$I$1:J85,2,0),0)</f>
        <v>0</v>
      </c>
      <c r="H86" s="26">
        <f ca="1" t="shared" si="9"/>
        <v>-1834</v>
      </c>
      <c r="I86" s="33" t="str">
        <f ca="1" t="shared" si="7"/>
        <v/>
      </c>
      <c r="J86" s="25" t="str">
        <f ca="1" t="shared" si="8"/>
        <v/>
      </c>
    </row>
    <row r="87" spans="5:10">
      <c r="E87" s="24">
        <v>45777</v>
      </c>
      <c r="F87" s="10">
        <v>118</v>
      </c>
      <c r="G87" s="25">
        <f ca="1">IFERROR(VLOOKUP(E87,$I$1:J86,2,0),0)</f>
        <v>0</v>
      </c>
      <c r="H87" s="26">
        <f ca="1" t="shared" si="9"/>
        <v>-1952</v>
      </c>
      <c r="I87" s="33" t="str">
        <f ca="1" t="shared" ref="I87:I119" si="10">IF(H87&lt;=$C$12,IF(COUNT(OFFSET(I86,,,-4))&gt;0,"",E87+$C$9),"")</f>
        <v/>
      </c>
      <c r="J87" s="25" t="str">
        <f ca="1" t="shared" ref="J87:J119" si="11">IF(ISNUMBER(I87),$C$13-(H87-SUM(F87:F91)),"")</f>
        <v/>
      </c>
    </row>
    <row r="88" spans="5:10">
      <c r="E88" s="24">
        <v>45779</v>
      </c>
      <c r="F88" s="10">
        <v>135</v>
      </c>
      <c r="G88" s="25">
        <f ca="1">IFERROR(VLOOKUP(E88,$I$1:J87,2,0),0)</f>
        <v>0</v>
      </c>
      <c r="H88" s="26">
        <f ca="1" t="shared" si="9"/>
        <v>-2087</v>
      </c>
      <c r="I88" s="33">
        <f ca="1" t="shared" si="10"/>
        <v>45784</v>
      </c>
      <c r="J88" s="25">
        <f ca="1" t="shared" si="11"/>
        <v>3911</v>
      </c>
    </row>
    <row r="89" spans="5:10">
      <c r="E89" s="24">
        <v>45782</v>
      </c>
      <c r="F89" s="10">
        <v>72</v>
      </c>
      <c r="G89" s="25">
        <f ca="1">IFERROR(VLOOKUP(E89,$I$1:J88,2,0),0)</f>
        <v>0</v>
      </c>
      <c r="H89" s="26">
        <f ca="1" t="shared" si="9"/>
        <v>-2159</v>
      </c>
      <c r="I89" s="33" t="str">
        <f ca="1" t="shared" si="10"/>
        <v/>
      </c>
      <c r="J89" s="25" t="str">
        <f ca="1" t="shared" si="11"/>
        <v/>
      </c>
    </row>
    <row r="90" spans="5:10">
      <c r="E90" s="24">
        <v>45783</v>
      </c>
      <c r="F90" s="10">
        <v>168</v>
      </c>
      <c r="G90" s="25">
        <f ca="1">IFERROR(VLOOKUP(E90,$I$1:J89,2,0),0)</f>
        <v>0</v>
      </c>
      <c r="H90" s="26">
        <f ca="1" t="shared" si="9"/>
        <v>-2327</v>
      </c>
      <c r="I90" s="33" t="str">
        <f ca="1" t="shared" si="10"/>
        <v/>
      </c>
      <c r="J90" s="25" t="str">
        <f ca="1" t="shared" si="11"/>
        <v/>
      </c>
    </row>
    <row r="91" spans="5:10">
      <c r="E91" s="24">
        <v>45784</v>
      </c>
      <c r="F91" s="10">
        <v>46</v>
      </c>
      <c r="G91" s="25">
        <f ca="1">IFERROR(VLOOKUP(E91,$I$1:J90,2,0),0)</f>
        <v>3911</v>
      </c>
      <c r="H91" s="26">
        <f ca="1" t="shared" si="9"/>
        <v>1538</v>
      </c>
      <c r="I91" s="33" t="str">
        <f ca="1" t="shared" si="10"/>
        <v/>
      </c>
      <c r="J91" s="25" t="str">
        <f ca="1" t="shared" si="11"/>
        <v/>
      </c>
    </row>
    <row r="92" spans="5:10">
      <c r="E92" s="24">
        <v>45785</v>
      </c>
      <c r="F92" s="10">
        <v>503</v>
      </c>
      <c r="G92" s="25">
        <f ca="1">IFERROR(VLOOKUP(E92,$I$1:J91,2,0),0)</f>
        <v>0</v>
      </c>
      <c r="H92" s="26">
        <f ca="1" t="shared" si="9"/>
        <v>1035</v>
      </c>
      <c r="I92" s="33" t="str">
        <f ca="1" t="shared" si="10"/>
        <v/>
      </c>
      <c r="J92" s="25" t="str">
        <f ca="1" t="shared" si="11"/>
        <v/>
      </c>
    </row>
    <row r="93" spans="5:10">
      <c r="E93" s="24">
        <v>45786</v>
      </c>
      <c r="F93" s="10">
        <v>129</v>
      </c>
      <c r="G93" s="25">
        <f ca="1">IFERROR(VLOOKUP(E93,$I$1:J92,2,0),0)</f>
        <v>0</v>
      </c>
      <c r="H93" s="26">
        <f ca="1" t="shared" si="9"/>
        <v>906</v>
      </c>
      <c r="I93" s="33" t="str">
        <f ca="1" t="shared" si="10"/>
        <v/>
      </c>
      <c r="J93" s="25" t="str">
        <f ca="1" t="shared" si="11"/>
        <v/>
      </c>
    </row>
    <row r="94" spans="5:10">
      <c r="E94" s="24">
        <v>45789</v>
      </c>
      <c r="F94" s="10">
        <v>95</v>
      </c>
      <c r="G94" s="25">
        <f ca="1">IFERROR(VLOOKUP(E94,$I$1:J93,2,0),0)</f>
        <v>0</v>
      </c>
      <c r="H94" s="26">
        <f ca="1" t="shared" si="9"/>
        <v>811</v>
      </c>
      <c r="I94" s="33" t="str">
        <f ca="1" t="shared" si="10"/>
        <v/>
      </c>
      <c r="J94" s="25" t="str">
        <f ca="1" t="shared" si="11"/>
        <v/>
      </c>
    </row>
    <row r="95" spans="5:10">
      <c r="E95" s="24">
        <v>45790</v>
      </c>
      <c r="F95" s="10">
        <v>55</v>
      </c>
      <c r="G95" s="25">
        <f ca="1">IFERROR(VLOOKUP(E95,$I$1:J94,2,0),0)</f>
        <v>0</v>
      </c>
      <c r="H95" s="26">
        <f ca="1" t="shared" si="9"/>
        <v>756</v>
      </c>
      <c r="I95" s="33" t="str">
        <f ca="1" t="shared" si="10"/>
        <v/>
      </c>
      <c r="J95" s="25" t="str">
        <f ca="1" t="shared" si="11"/>
        <v/>
      </c>
    </row>
    <row r="96" spans="5:10">
      <c r="E96" s="24">
        <v>45791</v>
      </c>
      <c r="F96" s="10">
        <v>102</v>
      </c>
      <c r="G96" s="25">
        <f ca="1">IFERROR(VLOOKUP(E96,$I$1:J95,2,0),0)</f>
        <v>0</v>
      </c>
      <c r="H96" s="26">
        <f ca="1" t="shared" si="9"/>
        <v>654</v>
      </c>
      <c r="I96" s="33">
        <f ca="1" t="shared" si="10"/>
        <v>45796</v>
      </c>
      <c r="J96" s="25">
        <f ca="1" t="shared" si="11"/>
        <v>769</v>
      </c>
    </row>
    <row r="97" spans="5:10">
      <c r="E97" s="24">
        <v>45792</v>
      </c>
      <c r="F97" s="10">
        <v>112</v>
      </c>
      <c r="G97" s="25">
        <f ca="1">IFERROR(VLOOKUP(E97,$I$1:J96,2,0),0)</f>
        <v>0</v>
      </c>
      <c r="H97" s="26">
        <f ca="1" t="shared" si="9"/>
        <v>542</v>
      </c>
      <c r="I97" s="33" t="str">
        <f ca="1" t="shared" si="10"/>
        <v/>
      </c>
      <c r="J97" s="25" t="str">
        <f ca="1" t="shared" si="11"/>
        <v/>
      </c>
    </row>
    <row r="98" spans="5:10">
      <c r="E98" s="24">
        <v>45793</v>
      </c>
      <c r="F98" s="10">
        <v>90</v>
      </c>
      <c r="G98" s="25">
        <f ca="1">IFERROR(VLOOKUP(E98,$I$1:J97,2,0),0)</f>
        <v>0</v>
      </c>
      <c r="H98" s="26">
        <f ca="1" t="shared" si="9"/>
        <v>452</v>
      </c>
      <c r="I98" s="33" t="str">
        <f ca="1" t="shared" si="10"/>
        <v/>
      </c>
      <c r="J98" s="25" t="str">
        <f ca="1" t="shared" si="11"/>
        <v/>
      </c>
    </row>
    <row r="99" spans="5:10">
      <c r="E99" s="24">
        <v>45796</v>
      </c>
      <c r="F99" s="10">
        <v>135</v>
      </c>
      <c r="G99" s="25">
        <f ca="1">IFERROR(VLOOKUP(E99,$I$1:J98,2,0),0)</f>
        <v>769</v>
      </c>
      <c r="H99" s="26">
        <f ca="1" t="shared" si="9"/>
        <v>1086</v>
      </c>
      <c r="I99" s="33" t="str">
        <f ca="1" t="shared" si="10"/>
        <v/>
      </c>
      <c r="J99" s="25" t="str">
        <f ca="1" t="shared" si="11"/>
        <v/>
      </c>
    </row>
    <row r="100" spans="5:10">
      <c r="E100" s="24">
        <v>45797</v>
      </c>
      <c r="F100" s="10">
        <v>84</v>
      </c>
      <c r="G100" s="25">
        <f ca="1">IFERROR(VLOOKUP(E100,$I$1:J99,2,0),0)</f>
        <v>0</v>
      </c>
      <c r="H100" s="26">
        <f ca="1" t="shared" si="9"/>
        <v>1002</v>
      </c>
      <c r="I100" s="33" t="str">
        <f ca="1" t="shared" si="10"/>
        <v/>
      </c>
      <c r="J100" s="25" t="str">
        <f ca="1" t="shared" si="11"/>
        <v/>
      </c>
    </row>
    <row r="101" spans="5:10">
      <c r="E101" s="24">
        <v>45798</v>
      </c>
      <c r="F101" s="10">
        <v>54</v>
      </c>
      <c r="G101" s="25">
        <f ca="1">IFERROR(VLOOKUP(E101,$I$1:J100,2,0),0)</f>
        <v>0</v>
      </c>
      <c r="H101" s="26">
        <f ca="1" t="shared" si="9"/>
        <v>948</v>
      </c>
      <c r="I101" s="33" t="str">
        <f ca="1" t="shared" si="10"/>
        <v/>
      </c>
      <c r="J101" s="25" t="str">
        <f ca="1" t="shared" si="11"/>
        <v/>
      </c>
    </row>
    <row r="102" spans="5:10">
      <c r="E102" s="24">
        <v>45799</v>
      </c>
      <c r="F102" s="10">
        <v>53</v>
      </c>
      <c r="G102" s="25">
        <f ca="1">IFERROR(VLOOKUP(E102,$I$1:J101,2,0),0)</f>
        <v>0</v>
      </c>
      <c r="H102" s="26">
        <f ca="1" t="shared" si="9"/>
        <v>895</v>
      </c>
      <c r="I102" s="33" t="str">
        <f ca="1" t="shared" si="10"/>
        <v/>
      </c>
      <c r="J102" s="25" t="str">
        <f ca="1" t="shared" si="11"/>
        <v/>
      </c>
    </row>
    <row r="103" spans="5:10">
      <c r="E103" s="24">
        <v>45800</v>
      </c>
      <c r="F103" s="10">
        <v>36</v>
      </c>
      <c r="G103" s="25">
        <f ca="1">IFERROR(VLOOKUP(E103,$I$1:J102,2,0),0)</f>
        <v>0</v>
      </c>
      <c r="H103" s="26">
        <f ca="1" t="shared" si="9"/>
        <v>859</v>
      </c>
      <c r="I103" s="33" t="str">
        <f ca="1" t="shared" si="10"/>
        <v/>
      </c>
      <c r="J103" s="25" t="str">
        <f ca="1" t="shared" si="11"/>
        <v/>
      </c>
    </row>
    <row r="104" spans="5:10">
      <c r="E104" s="24">
        <v>45803</v>
      </c>
      <c r="F104" s="10">
        <v>109</v>
      </c>
      <c r="G104" s="25">
        <f ca="1">IFERROR(VLOOKUP(E104,$I$1:J103,2,0),0)</f>
        <v>0</v>
      </c>
      <c r="H104" s="26">
        <f ca="1" t="shared" si="9"/>
        <v>750</v>
      </c>
      <c r="I104" s="33" t="str">
        <f ca="1" t="shared" si="10"/>
        <v/>
      </c>
      <c r="J104" s="25" t="str">
        <f ca="1" t="shared" si="11"/>
        <v/>
      </c>
    </row>
    <row r="105" spans="5:10">
      <c r="E105" s="24">
        <v>45804</v>
      </c>
      <c r="F105" s="10">
        <v>92</v>
      </c>
      <c r="G105" s="25">
        <f ca="1">IFERROR(VLOOKUP(E105,$I$1:J104,2,0),0)</f>
        <v>0</v>
      </c>
      <c r="H105" s="26">
        <f ca="1" t="shared" si="9"/>
        <v>658</v>
      </c>
      <c r="I105" s="33">
        <f ca="1" t="shared" si="10"/>
        <v>45809</v>
      </c>
      <c r="J105" s="25">
        <f ca="1" t="shared" si="11"/>
        <v>1040</v>
      </c>
    </row>
    <row r="106" spans="5:10">
      <c r="E106" s="24">
        <v>45805</v>
      </c>
      <c r="F106" s="10">
        <v>170</v>
      </c>
      <c r="G106" s="25">
        <f ca="1">IFERROR(VLOOKUP(E106,$I$1:J105,2,0),0)</f>
        <v>0</v>
      </c>
      <c r="H106" s="26">
        <f ca="1" t="shared" si="9"/>
        <v>488</v>
      </c>
      <c r="I106" s="33" t="str">
        <f ca="1" t="shared" si="10"/>
        <v/>
      </c>
      <c r="J106" s="25" t="str">
        <f ca="1" t="shared" si="11"/>
        <v/>
      </c>
    </row>
    <row r="107" spans="5:10">
      <c r="E107" s="24">
        <v>45806</v>
      </c>
      <c r="F107" s="10">
        <v>160</v>
      </c>
      <c r="G107" s="25">
        <f ca="1">IFERROR(VLOOKUP(E107,$I$1:J106,2,0),0)</f>
        <v>0</v>
      </c>
      <c r="H107" s="26">
        <f ca="1" t="shared" si="9"/>
        <v>328</v>
      </c>
      <c r="I107" s="33" t="str">
        <f ca="1" t="shared" si="10"/>
        <v/>
      </c>
      <c r="J107" s="25" t="str">
        <f ca="1" t="shared" si="11"/>
        <v/>
      </c>
    </row>
    <row r="108" spans="5:10">
      <c r="E108" s="24">
        <v>45807</v>
      </c>
      <c r="F108" s="10">
        <v>106</v>
      </c>
      <c r="G108" s="25">
        <f ca="1">IFERROR(VLOOKUP(E108,$I$1:J107,2,0),0)</f>
        <v>0</v>
      </c>
      <c r="H108" s="26">
        <f ca="1" t="shared" si="9"/>
        <v>222</v>
      </c>
      <c r="I108" s="33" t="str">
        <f ca="1" t="shared" si="10"/>
        <v/>
      </c>
      <c r="J108" s="25" t="str">
        <f ca="1" t="shared" si="11"/>
        <v/>
      </c>
    </row>
    <row r="109" spans="5:10">
      <c r="E109" s="24">
        <v>45810</v>
      </c>
      <c r="F109" s="10">
        <v>270</v>
      </c>
      <c r="G109" s="25">
        <f ca="1">IFERROR(VLOOKUP(E109,$I$1:J108,2,0),0)</f>
        <v>0</v>
      </c>
      <c r="H109" s="26">
        <f ca="1" t="shared" si="9"/>
        <v>-48</v>
      </c>
      <c r="I109" s="33" t="str">
        <f ca="1" t="shared" si="10"/>
        <v/>
      </c>
      <c r="J109" s="25" t="str">
        <f ca="1" t="shared" si="11"/>
        <v/>
      </c>
    </row>
    <row r="110" spans="5:10">
      <c r="E110" s="24">
        <v>45811</v>
      </c>
      <c r="F110" s="10">
        <v>87</v>
      </c>
      <c r="G110" s="25">
        <f ca="1">IFERROR(VLOOKUP(E110,$I$1:J109,2,0),0)</f>
        <v>0</v>
      </c>
      <c r="H110" s="26">
        <f ca="1" t="shared" si="9"/>
        <v>-135</v>
      </c>
      <c r="I110" s="33">
        <f ca="1" t="shared" si="10"/>
        <v>45816</v>
      </c>
      <c r="J110" s="25">
        <f ca="1" t="shared" si="11"/>
        <v>1372</v>
      </c>
    </row>
    <row r="111" spans="5:10">
      <c r="E111" s="24">
        <v>45812</v>
      </c>
      <c r="F111" s="10">
        <v>127</v>
      </c>
      <c r="G111" s="25">
        <f ca="1">IFERROR(VLOOKUP(E111,$I$1:J110,2,0),0)</f>
        <v>0</v>
      </c>
      <c r="H111" s="26">
        <f ca="1" t="shared" si="9"/>
        <v>-262</v>
      </c>
      <c r="I111" s="33" t="str">
        <f ca="1" t="shared" si="10"/>
        <v/>
      </c>
      <c r="J111" s="25" t="str">
        <f ca="1" t="shared" si="11"/>
        <v/>
      </c>
    </row>
    <row r="112" spans="5:10">
      <c r="E112" s="24">
        <v>45813</v>
      </c>
      <c r="F112" s="10">
        <v>93</v>
      </c>
      <c r="G112" s="25">
        <f ca="1">IFERROR(VLOOKUP(E112,$I$1:J111,2,0),0)</f>
        <v>0</v>
      </c>
      <c r="H112" s="26">
        <f ca="1" t="shared" si="9"/>
        <v>-355</v>
      </c>
      <c r="I112" s="33" t="str">
        <f ca="1" t="shared" si="10"/>
        <v/>
      </c>
      <c r="J112" s="25" t="str">
        <f ca="1" t="shared" si="11"/>
        <v/>
      </c>
    </row>
    <row r="113" spans="5:10">
      <c r="E113" s="24">
        <v>45814</v>
      </c>
      <c r="F113" s="10">
        <v>14</v>
      </c>
      <c r="G113" s="25">
        <f ca="1">IFERROR(VLOOKUP(E113,$I$1:J112,2,0),0)</f>
        <v>0</v>
      </c>
      <c r="H113" s="26">
        <f ca="1" t="shared" si="9"/>
        <v>-369</v>
      </c>
      <c r="I113" s="33" t="str">
        <f ca="1" t="shared" si="10"/>
        <v/>
      </c>
      <c r="J113" s="25" t="str">
        <f ca="1" t="shared" si="11"/>
        <v/>
      </c>
    </row>
    <row r="114" spans="5:10">
      <c r="E114" s="24">
        <v>45817</v>
      </c>
      <c r="F114" s="10">
        <v>16</v>
      </c>
      <c r="G114" s="25">
        <f ca="1">IFERROR(VLOOKUP(E114,$I$1:J113,2,0),0)</f>
        <v>0</v>
      </c>
      <c r="H114" s="26">
        <f ca="1" t="shared" si="9"/>
        <v>-385</v>
      </c>
      <c r="I114" s="33" t="str">
        <f ca="1" t="shared" si="10"/>
        <v/>
      </c>
      <c r="J114" s="25" t="str">
        <f ca="1" t="shared" si="11"/>
        <v/>
      </c>
    </row>
    <row r="115" spans="5:10">
      <c r="E115" s="24">
        <v>45818</v>
      </c>
      <c r="F115" s="10">
        <v>55</v>
      </c>
      <c r="G115" s="25">
        <f ca="1">IFERROR(VLOOKUP(E115,$I$1:J114,2,0),0)</f>
        <v>0</v>
      </c>
      <c r="H115" s="26">
        <f ca="1" t="shared" si="9"/>
        <v>-440</v>
      </c>
      <c r="I115" s="33">
        <f ca="1" t="shared" si="10"/>
        <v>45823</v>
      </c>
      <c r="J115" s="25">
        <f ca="1" t="shared" si="11"/>
        <v>2026</v>
      </c>
    </row>
    <row r="116" spans="5:10">
      <c r="E116" s="24">
        <v>45819</v>
      </c>
      <c r="F116" s="10">
        <v>57</v>
      </c>
      <c r="G116" s="25">
        <f ca="1">IFERROR(VLOOKUP(E116,$I$1:J115,2,0),0)</f>
        <v>0</v>
      </c>
      <c r="H116" s="26">
        <f ca="1" t="shared" si="9"/>
        <v>-497</v>
      </c>
      <c r="I116" s="33" t="str">
        <f ca="1" t="shared" si="10"/>
        <v/>
      </c>
      <c r="J116" s="25" t="str">
        <f ca="1" t="shared" si="11"/>
        <v/>
      </c>
    </row>
    <row r="117" spans="5:10">
      <c r="E117" s="24">
        <v>45820</v>
      </c>
      <c r="F117" s="10">
        <v>51</v>
      </c>
      <c r="G117" s="25">
        <f ca="1">IFERROR(VLOOKUP(E117,$I$1:J116,2,0),0)</f>
        <v>0</v>
      </c>
      <c r="H117" s="26">
        <f ca="1" t="shared" si="9"/>
        <v>-548</v>
      </c>
      <c r="I117" s="33" t="str">
        <f ca="1" t="shared" si="10"/>
        <v/>
      </c>
      <c r="J117" s="25" t="str">
        <f ca="1" t="shared" si="11"/>
        <v/>
      </c>
    </row>
    <row r="118" spans="5:10">
      <c r="E118" s="24">
        <v>45821</v>
      </c>
      <c r="F118" s="10">
        <v>407</v>
      </c>
      <c r="G118" s="25">
        <f ca="1">IFERROR(VLOOKUP(E118,$I$1:J117,2,0),0)</f>
        <v>0</v>
      </c>
      <c r="H118" s="26">
        <f ca="1" t="shared" si="9"/>
        <v>-955</v>
      </c>
      <c r="I118" s="33" t="str">
        <f ca="1" t="shared" si="10"/>
        <v/>
      </c>
      <c r="J118" s="25" t="str">
        <f ca="1" t="shared" si="11"/>
        <v/>
      </c>
    </row>
    <row r="119" spans="5:10">
      <c r="E119" s="24">
        <v>45824</v>
      </c>
      <c r="F119" s="10">
        <v>116</v>
      </c>
      <c r="G119" s="25">
        <f ca="1">IFERROR(VLOOKUP(E119,$I$1:J118,2,0),0)</f>
        <v>0</v>
      </c>
      <c r="H119" s="26">
        <f ca="1" t="shared" si="9"/>
        <v>-1071</v>
      </c>
      <c r="I119" s="33" t="str">
        <f ca="1" t="shared" si="10"/>
        <v/>
      </c>
      <c r="J119" s="25" t="str">
        <f ca="1" t="shared" si="11"/>
        <v/>
      </c>
    </row>
    <row r="120" spans="5:6">
      <c r="E120" s="24">
        <v>45825</v>
      </c>
      <c r="F120" s="10">
        <v>173</v>
      </c>
    </row>
    <row r="121" spans="5:6">
      <c r="E121" s="24">
        <v>45826</v>
      </c>
      <c r="F121" s="10">
        <v>101</v>
      </c>
    </row>
    <row r="122" spans="5:6">
      <c r="E122" s="24">
        <v>45828</v>
      </c>
      <c r="F122" s="10">
        <v>74</v>
      </c>
    </row>
    <row r="123" spans="5:6">
      <c r="E123" s="24">
        <v>45831</v>
      </c>
      <c r="F123" s="10">
        <v>15</v>
      </c>
    </row>
    <row r="124" spans="5:6">
      <c r="E124" s="24">
        <v>45832</v>
      </c>
      <c r="F124" s="10">
        <v>227</v>
      </c>
    </row>
    <row r="125" spans="5:6">
      <c r="E125" s="24">
        <v>45833</v>
      </c>
      <c r="F125" s="10">
        <v>87</v>
      </c>
    </row>
    <row r="126" spans="5:6">
      <c r="E126" s="24">
        <v>45834</v>
      </c>
      <c r="F126" s="10">
        <v>93</v>
      </c>
    </row>
    <row r="127" spans="5:6">
      <c r="E127" s="24">
        <v>45835</v>
      </c>
      <c r="F127" s="10">
        <v>17</v>
      </c>
    </row>
    <row r="128" spans="5:6">
      <c r="E128" s="24">
        <v>45838</v>
      </c>
      <c r="F128" s="10">
        <v>40</v>
      </c>
    </row>
    <row r="129" spans="5:6">
      <c r="E129" s="24">
        <v>45839</v>
      </c>
      <c r="F129" s="10">
        <v>79</v>
      </c>
    </row>
    <row r="130" spans="5:6">
      <c r="E130" s="24">
        <v>45840</v>
      </c>
      <c r="F130" s="10">
        <v>147</v>
      </c>
    </row>
    <row r="131" spans="5:6">
      <c r="E131" s="24">
        <v>45841</v>
      </c>
      <c r="F131" s="10">
        <v>82</v>
      </c>
    </row>
    <row r="132" spans="5:6">
      <c r="E132" s="24">
        <v>45842</v>
      </c>
      <c r="F132" s="10">
        <v>97</v>
      </c>
    </row>
    <row r="133" spans="5:6">
      <c r="E133" s="24">
        <v>45845</v>
      </c>
      <c r="F133" s="10">
        <v>30</v>
      </c>
    </row>
    <row r="134" spans="5:6">
      <c r="E134" s="24">
        <v>45846</v>
      </c>
      <c r="F134" s="10">
        <v>68</v>
      </c>
    </row>
    <row r="135" spans="5:6">
      <c r="E135" s="24">
        <v>45847</v>
      </c>
      <c r="F135" s="10">
        <v>31</v>
      </c>
    </row>
    <row r="136" spans="5:6">
      <c r="E136" s="24">
        <v>45848</v>
      </c>
      <c r="F136" s="10">
        <v>189</v>
      </c>
    </row>
    <row r="137" spans="5:6">
      <c r="E137" s="24">
        <v>45849</v>
      </c>
      <c r="F137" s="10">
        <v>347</v>
      </c>
    </row>
    <row r="138" spans="5:6">
      <c r="E138" s="24">
        <v>45852</v>
      </c>
      <c r="F138" s="10">
        <v>16</v>
      </c>
    </row>
    <row r="139" spans="5:6">
      <c r="E139" s="24">
        <v>45853</v>
      </c>
      <c r="F139" s="10">
        <v>146</v>
      </c>
    </row>
    <row r="140" spans="5:6">
      <c r="E140" s="24">
        <v>45854</v>
      </c>
      <c r="F140" s="10">
        <v>104</v>
      </c>
    </row>
    <row r="141" spans="5:6">
      <c r="E141" s="24">
        <v>45855</v>
      </c>
      <c r="F141" s="10">
        <v>173</v>
      </c>
    </row>
    <row r="142" spans="5:6">
      <c r="E142" s="24">
        <v>45856</v>
      </c>
      <c r="F142" s="10">
        <v>15</v>
      </c>
    </row>
    <row r="143" spans="5:6">
      <c r="E143" s="24">
        <v>45859</v>
      </c>
      <c r="F143" s="10">
        <v>91</v>
      </c>
    </row>
    <row r="144" spans="5:6">
      <c r="E144" s="24">
        <v>45860</v>
      </c>
      <c r="F144" s="10">
        <v>142</v>
      </c>
    </row>
    <row r="145" spans="5:6">
      <c r="E145" s="24">
        <v>45861</v>
      </c>
      <c r="F145" s="10">
        <v>77</v>
      </c>
    </row>
    <row r="146" spans="5:6">
      <c r="E146" s="24">
        <v>45862</v>
      </c>
      <c r="F146" s="10">
        <v>63</v>
      </c>
    </row>
    <row r="147" spans="5:6">
      <c r="E147" s="24">
        <v>45863</v>
      </c>
      <c r="F147" s="10">
        <v>73</v>
      </c>
    </row>
    <row r="148" spans="5:6">
      <c r="E148" s="24">
        <v>45866</v>
      </c>
      <c r="F148" s="10">
        <v>98</v>
      </c>
    </row>
    <row r="149" spans="5:6">
      <c r="E149" s="24">
        <v>45867</v>
      </c>
      <c r="F149" s="10">
        <v>41</v>
      </c>
    </row>
    <row r="150" spans="5:6">
      <c r="E150" s="24">
        <v>45868</v>
      </c>
      <c r="F150" s="10">
        <v>81</v>
      </c>
    </row>
    <row r="151" spans="5:6">
      <c r="E151" s="24">
        <v>45869</v>
      </c>
      <c r="F151" s="10">
        <v>139</v>
      </c>
    </row>
    <row r="152" spans="5:6">
      <c r="E152" s="24">
        <v>45870</v>
      </c>
      <c r="F152" s="10">
        <v>103</v>
      </c>
    </row>
    <row r="153" spans="5:6">
      <c r="E153" s="24">
        <v>45873</v>
      </c>
      <c r="F153" s="10">
        <v>116</v>
      </c>
    </row>
    <row r="154" spans="5:6">
      <c r="E154" s="24">
        <v>45874</v>
      </c>
      <c r="F154" s="10">
        <v>88</v>
      </c>
    </row>
    <row r="155" spans="5:6">
      <c r="E155" s="24">
        <v>45875</v>
      </c>
      <c r="F155" s="10">
        <v>124</v>
      </c>
    </row>
    <row r="156" spans="5:6">
      <c r="E156" s="24">
        <v>45876</v>
      </c>
      <c r="F156" s="10">
        <v>53</v>
      </c>
    </row>
    <row r="157" spans="5:6">
      <c r="E157" s="24">
        <v>45877</v>
      </c>
      <c r="F157" s="10">
        <v>189</v>
      </c>
    </row>
    <row r="158" spans="5:6">
      <c r="E158" s="24">
        <v>45880</v>
      </c>
      <c r="F158" s="10">
        <v>79</v>
      </c>
    </row>
    <row r="159" spans="5:6">
      <c r="E159" s="24">
        <v>45881</v>
      </c>
      <c r="F159" s="10">
        <v>52</v>
      </c>
    </row>
    <row r="160" spans="5:6">
      <c r="E160" s="24">
        <v>45882</v>
      </c>
      <c r="F160" s="10">
        <v>87</v>
      </c>
    </row>
    <row r="161" spans="5:6">
      <c r="E161" s="24">
        <v>45883</v>
      </c>
      <c r="F161" s="10">
        <v>87</v>
      </c>
    </row>
    <row r="162" spans="5:6">
      <c r="E162" s="24">
        <v>45884</v>
      </c>
      <c r="F162" s="10">
        <v>221</v>
      </c>
    </row>
    <row r="163" spans="5:6">
      <c r="E163" s="24">
        <v>45887</v>
      </c>
      <c r="F163" s="10">
        <v>50</v>
      </c>
    </row>
    <row r="164" spans="5:6">
      <c r="E164" s="24">
        <v>45888</v>
      </c>
      <c r="F164" s="10">
        <v>91</v>
      </c>
    </row>
    <row r="165" spans="5:6">
      <c r="E165" s="24">
        <v>45889</v>
      </c>
      <c r="F165" s="10">
        <v>227</v>
      </c>
    </row>
    <row r="166" spans="5:6">
      <c r="E166" s="24">
        <v>45890</v>
      </c>
      <c r="F166" s="10">
        <v>135</v>
      </c>
    </row>
    <row r="167" spans="5:6">
      <c r="E167" s="24">
        <v>45891</v>
      </c>
      <c r="F167" s="10">
        <v>37</v>
      </c>
    </row>
    <row r="168" spans="5:6">
      <c r="E168" s="24">
        <v>45894</v>
      </c>
      <c r="F168" s="10">
        <v>47</v>
      </c>
    </row>
    <row r="169" spans="5:6">
      <c r="E169" s="24">
        <v>45895</v>
      </c>
      <c r="F169" s="10">
        <v>71</v>
      </c>
    </row>
    <row r="170" spans="5:6">
      <c r="E170" s="24">
        <v>45896</v>
      </c>
      <c r="F170" s="10">
        <v>118</v>
      </c>
    </row>
    <row r="171" spans="5:6">
      <c r="E171" s="24">
        <v>45897</v>
      </c>
      <c r="F171" s="10">
        <v>59</v>
      </c>
    </row>
    <row r="172" spans="5:6">
      <c r="E172" s="24">
        <v>45898</v>
      </c>
      <c r="F172" s="10">
        <v>46</v>
      </c>
    </row>
    <row r="173" spans="5:6">
      <c r="E173" s="24">
        <v>45901</v>
      </c>
      <c r="F173" s="10">
        <v>66</v>
      </c>
    </row>
    <row r="174" spans="5:6">
      <c r="E174" s="24">
        <v>45902</v>
      </c>
      <c r="F174" s="10">
        <v>67</v>
      </c>
    </row>
    <row r="175" spans="5:6">
      <c r="E175" s="24">
        <v>45903</v>
      </c>
      <c r="F175" s="10">
        <v>160</v>
      </c>
    </row>
    <row r="176" spans="5:6">
      <c r="E176" s="24">
        <v>45904</v>
      </c>
      <c r="F176" s="10">
        <v>172</v>
      </c>
    </row>
    <row r="177" spans="5:6">
      <c r="E177" s="24">
        <v>45905</v>
      </c>
      <c r="F177" s="10">
        <v>98</v>
      </c>
    </row>
    <row r="178" spans="5:6">
      <c r="E178" s="24">
        <v>45908</v>
      </c>
      <c r="F178" s="10">
        <v>72</v>
      </c>
    </row>
    <row r="179" spans="5:6">
      <c r="E179" s="24">
        <v>45909</v>
      </c>
      <c r="F179" s="10">
        <v>64</v>
      </c>
    </row>
    <row r="180" spans="5:6">
      <c r="E180" s="24">
        <v>45910</v>
      </c>
      <c r="F180" s="10">
        <v>249</v>
      </c>
    </row>
    <row r="181" spans="5:6">
      <c r="E181" s="24">
        <v>45911</v>
      </c>
      <c r="F181" s="10">
        <v>31</v>
      </c>
    </row>
    <row r="182" spans="5:6">
      <c r="E182" s="24">
        <v>45912</v>
      </c>
      <c r="F182" s="10">
        <v>72</v>
      </c>
    </row>
    <row r="183" spans="5:6">
      <c r="E183" s="24">
        <v>45915</v>
      </c>
      <c r="F183" s="10">
        <v>188</v>
      </c>
    </row>
    <row r="184" spans="5:6">
      <c r="E184" s="24">
        <v>45916</v>
      </c>
      <c r="F184" s="10">
        <v>135</v>
      </c>
    </row>
    <row r="185" spans="5:6">
      <c r="E185" s="24">
        <v>45917</v>
      </c>
      <c r="F185" s="10">
        <v>96</v>
      </c>
    </row>
    <row r="186" spans="5:6">
      <c r="E186" s="24">
        <v>45918</v>
      </c>
      <c r="F186" s="10">
        <v>109</v>
      </c>
    </row>
    <row r="187" spans="5:6">
      <c r="E187" s="24">
        <v>45919</v>
      </c>
      <c r="F187" s="10">
        <v>133</v>
      </c>
    </row>
    <row r="188" spans="5:6">
      <c r="E188" s="24">
        <v>45922</v>
      </c>
      <c r="F188" s="10">
        <v>125</v>
      </c>
    </row>
    <row r="189" spans="5:6">
      <c r="E189" s="24">
        <v>45923</v>
      </c>
      <c r="F189" s="10">
        <v>96</v>
      </c>
    </row>
    <row r="190" spans="5:6">
      <c r="E190" s="24">
        <v>45924</v>
      </c>
      <c r="F190" s="10">
        <v>166</v>
      </c>
    </row>
    <row r="191" spans="5:6">
      <c r="E191" s="24">
        <v>45925</v>
      </c>
      <c r="F191" s="10">
        <v>167</v>
      </c>
    </row>
    <row r="192" spans="5:6">
      <c r="E192" s="24">
        <v>45926</v>
      </c>
      <c r="F192" s="10">
        <v>109</v>
      </c>
    </row>
    <row r="193" spans="5:6">
      <c r="E193" s="24">
        <v>45929</v>
      </c>
      <c r="F193" s="10">
        <v>106</v>
      </c>
    </row>
    <row r="194" spans="5:6">
      <c r="E194" s="24">
        <v>45930</v>
      </c>
      <c r="F194" s="10">
        <v>124</v>
      </c>
    </row>
    <row r="195" spans="6:6">
      <c r="F195"/>
    </row>
  </sheetData>
  <dataValidations count="1">
    <dataValidation type="list" allowBlank="1" showInputMessage="1" showErrorMessage="1" sqref="C10">
      <formula1>Configurações!$B$6:$B$18</formula1>
    </dataValidation>
  </dataValidations>
  <pageMargins left="0.511811024" right="0.511811024" top="0.787401575" bottom="0.787401575" header="0.31496062" footer="0.31496062"/>
  <pageSetup paperSize="9" orientation="portrait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3"/>
  <dimension ref="A1:AF18"/>
  <sheetViews>
    <sheetView showGridLines="0" zoomScale="175" zoomScaleNormal="175" topLeftCell="A2" workbookViewId="0">
      <selection activeCell="B22" sqref="B22"/>
    </sheetView>
  </sheetViews>
  <sheetFormatPr defaultColWidth="9" defaultRowHeight="15"/>
  <cols>
    <col min="2" max="2" width="17.7142857142857" customWidth="1"/>
    <col min="3" max="3" width="17.5714285714286" customWidth="1"/>
    <col min="7" max="7" width="17.4285714285714" customWidth="1"/>
    <col min="8" max="8" width="18.7142857142857" customWidth="1"/>
  </cols>
  <sheetData>
    <row r="1" ht="31.5" spans="1:32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1.5" spans="1:32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5" spans="2:3">
      <c r="B5" s="3" t="s">
        <v>75</v>
      </c>
      <c r="C5" s="3" t="s">
        <v>76</v>
      </c>
    </row>
    <row r="6" spans="2:3">
      <c r="B6" s="4">
        <v>0.5</v>
      </c>
      <c r="C6" s="5">
        <v>0</v>
      </c>
    </row>
    <row r="7" spans="2:3">
      <c r="B7" s="4">
        <v>0.6</v>
      </c>
      <c r="C7" s="5">
        <v>0.254</v>
      </c>
    </row>
    <row r="8" spans="2:3">
      <c r="B8" s="4">
        <v>0.7</v>
      </c>
      <c r="C8" s="5">
        <v>0.525</v>
      </c>
    </row>
    <row r="9" spans="2:3">
      <c r="B9" s="4">
        <v>0.8</v>
      </c>
      <c r="C9" s="5">
        <v>0.842</v>
      </c>
    </row>
    <row r="10" spans="2:3">
      <c r="B10" s="4">
        <v>0.85</v>
      </c>
      <c r="C10" s="5">
        <v>1.037</v>
      </c>
    </row>
    <row r="11" spans="2:3">
      <c r="B11" s="4">
        <v>0.9</v>
      </c>
      <c r="C11" s="5">
        <v>1.282</v>
      </c>
    </row>
    <row r="12" spans="2:3">
      <c r="B12" s="6">
        <v>0.95</v>
      </c>
      <c r="C12" s="7">
        <v>1.645</v>
      </c>
    </row>
    <row r="13" spans="2:3">
      <c r="B13" s="4">
        <v>0.96</v>
      </c>
      <c r="C13" s="5">
        <v>1.751</v>
      </c>
    </row>
    <row r="14" spans="2:3">
      <c r="B14" s="4">
        <v>0.97</v>
      </c>
      <c r="C14" s="5">
        <v>1.88</v>
      </c>
    </row>
    <row r="15" spans="2:3">
      <c r="B15" s="4">
        <v>0.98</v>
      </c>
      <c r="C15" s="5">
        <v>2.055</v>
      </c>
    </row>
    <row r="16" spans="2:3">
      <c r="B16" s="4">
        <v>0.99</v>
      </c>
      <c r="C16" s="5">
        <v>2.325</v>
      </c>
    </row>
    <row r="17" spans="2:3">
      <c r="B17" s="8">
        <v>0.999</v>
      </c>
      <c r="C17" s="5">
        <v>3.1</v>
      </c>
    </row>
    <row r="18" spans="2:3">
      <c r="B18" s="8">
        <v>0.9999</v>
      </c>
      <c r="C18" s="5">
        <v>3.62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Dados</vt:lpstr>
      <vt:lpstr>Consolidação</vt:lpstr>
      <vt:lpstr>Cálculo de Estoque</vt:lpstr>
      <vt:lpstr>Configurações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Betini</dc:creator>
  <cp:keywords>Guia do Excel</cp:keywords>
  <cp:lastModifiedBy>coordpcp</cp:lastModifiedBy>
  <dcterms:created xsi:type="dcterms:W3CDTF">2018-09-02T11:35:00Z</dcterms:created>
  <cp:lastPrinted>2025-11-14T11:07:00Z</cp:lastPrinted>
  <dcterms:modified xsi:type="dcterms:W3CDTF">2026-01-07T18:58:13Z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4E76A34C455C4500BBBC95444B933D2E_12</vt:lpwstr>
  </property>
  <property fmtid="{D5CDD505-2E9C-101B-9397-08002B2CF9AE}" pid="3" name="KSOProductBuildVer">
    <vt:lpwstr>1046-12.2.0.23196</vt:lpwstr>
  </property>
</Properties>
</file>